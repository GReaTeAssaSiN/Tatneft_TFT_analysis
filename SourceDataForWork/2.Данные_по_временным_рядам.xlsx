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8_{50DE7FE1-E237-4433-9AA6-3A32ECB4A7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Лист1!$A$3:$F$3</definedName>
    <definedName name="_xlnm.Print_Titles" localSheetId="0">Лист1!$1:$3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7" i="1" l="1"/>
  <c r="C88" i="1" s="1"/>
  <c r="C89" i="1" s="1"/>
  <c r="C90" i="1" s="1"/>
  <c r="C91" i="1" s="1"/>
  <c r="C92" i="1" s="1"/>
  <c r="C85" i="1" l="1"/>
  <c r="C21" i="1"/>
  <c r="C22" i="1" s="1"/>
  <c r="C23" i="1" s="1"/>
  <c r="C24" i="1" s="1"/>
  <c r="C56" i="1" l="1"/>
  <c r="C57" i="1" s="1"/>
  <c r="C58" i="1" s="1"/>
  <c r="C46" i="1"/>
  <c r="C47" i="1" s="1"/>
  <c r="C48" i="1" s="1"/>
  <c r="C36" i="1"/>
  <c r="C37" i="1" s="1"/>
  <c r="C38" i="1" s="1"/>
  <c r="C60" i="1" l="1"/>
  <c r="C61" i="1" s="1"/>
  <c r="C62" i="1" s="1"/>
  <c r="C63" i="1" s="1"/>
  <c r="C64" i="1" s="1"/>
  <c r="C59" i="1"/>
  <c r="C50" i="1"/>
  <c r="C51" i="1" s="1"/>
  <c r="C52" i="1" s="1"/>
  <c r="C53" i="1" s="1"/>
  <c r="C54" i="1" s="1"/>
  <c r="C49" i="1"/>
  <c r="C40" i="1"/>
  <c r="C41" i="1" s="1"/>
  <c r="C42" i="1" s="1"/>
  <c r="C43" i="1" s="1"/>
  <c r="C44" i="1" s="1"/>
  <c r="C39" i="1"/>
  <c r="C26" i="1"/>
  <c r="C27" i="1" s="1"/>
  <c r="C28" i="1" s="1"/>
  <c r="C18" i="1"/>
  <c r="C19" i="1" s="1"/>
  <c r="C30" i="1" l="1"/>
  <c r="C31" i="1" s="1"/>
  <c r="C32" i="1" s="1"/>
  <c r="C33" i="1" s="1"/>
  <c r="C34" i="1" s="1"/>
  <c r="C66" i="1" s="1"/>
  <c r="C67" i="1" s="1"/>
  <c r="C68" i="1" s="1"/>
  <c r="C69" i="1" s="1"/>
  <c r="C70" i="1" s="1"/>
  <c r="C71" i="1" s="1"/>
  <c r="C72" i="1" s="1"/>
  <c r="C73" i="1" s="1"/>
  <c r="C74" i="1" s="1"/>
  <c r="C76" i="1" s="1"/>
  <c r="C77" i="1" s="1"/>
  <c r="C78" i="1" s="1"/>
  <c r="C79" i="1" s="1"/>
  <c r="C80" i="1" s="1"/>
  <c r="C81" i="1" s="1"/>
  <c r="C82" i="1" s="1"/>
  <c r="C83" i="1" s="1"/>
  <c r="C29" i="1"/>
  <c r="C7" i="1"/>
  <c r="C8" i="1" s="1"/>
  <c r="C9" i="1" s="1"/>
  <c r="C10" i="1" s="1"/>
  <c r="C11" i="1" s="1"/>
  <c r="C12" i="1" s="1"/>
  <c r="C13" i="1" s="1"/>
  <c r="C14" i="1" s="1"/>
  <c r="C15" i="1" s="1"/>
  <c r="C16" i="1" s="1"/>
  <c r="C5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B3" i="1"/>
  <c r="C3" i="1" s="1"/>
  <c r="D3" i="1" s="1"/>
  <c r="E3" i="1" s="1"/>
  <c r="F3" i="1" s="1"/>
  <c r="A30" i="1" l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l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9" i="1" s="1"/>
  <c r="A91" i="1" s="1"/>
  <c r="A92" i="1" l="1"/>
  <c r="A93" i="1"/>
  <c r="A95" i="1" l="1"/>
  <c r="A94" i="1"/>
</calcChain>
</file>

<file path=xl/sharedStrings.xml><?xml version="1.0" encoding="utf-8"?>
<sst xmlns="http://schemas.openxmlformats.org/spreadsheetml/2006/main" count="374" uniqueCount="173">
  <si>
    <t>Переменная</t>
  </si>
  <si>
    <t xml:space="preserve">Тип </t>
  </si>
  <si>
    <t>Описание</t>
  </si>
  <si>
    <t>Наименование групп данных</t>
  </si>
  <si>
    <t>Идентификаторы</t>
  </si>
  <si>
    <t>№ п/п
сквозной</t>
  </si>
  <si>
    <t>№ п/п
в группе</t>
  </si>
  <si>
    <t>station_id</t>
  </si>
  <si>
    <t>int</t>
  </si>
  <si>
    <t>Уникальный идентификатор АЗС (0-24)</t>
  </si>
  <si>
    <t>station_name</t>
  </si>
  <si>
    <t>str</t>
  </si>
  <si>
    <t xml:space="preserve">Продажи топлива по видам </t>
  </si>
  <si>
    <t>sales_AI92</t>
  </si>
  <si>
    <t>Продажи АИ-92 (литров/час)</t>
  </si>
  <si>
    <t>sales_AI92_bio</t>
  </si>
  <si>
    <t>Продажи АИ-92 Taneco-bio  (литров/час)</t>
  </si>
  <si>
    <t>sales_AI95</t>
  </si>
  <si>
    <t>Продажи АИ-95 (литров/час)</t>
  </si>
  <si>
    <t>sales_AI95_bio</t>
  </si>
  <si>
    <t>Продажи АИ-95 Taneco-bio  (литров/час)</t>
  </si>
  <si>
    <t>sales_AI100_bio</t>
  </si>
  <si>
    <t>Продажи АИ-100 Taneco-bio  (литров/час)</t>
  </si>
  <si>
    <t>sales_DT</t>
  </si>
  <si>
    <t>Продажи ДТ (литров/час)</t>
  </si>
  <si>
    <t>sales_DT_bio</t>
  </si>
  <si>
    <t>Продажи ДТ Taneco-bio (литров/час)</t>
  </si>
  <si>
    <t>sales_SUG</t>
  </si>
  <si>
    <t>Продажи SUG (литров/час)</t>
  </si>
  <si>
    <t>sales_KPG</t>
  </si>
  <si>
    <t>Продажи SUG (м3/час)</t>
  </si>
  <si>
    <t>sales_SPG</t>
  </si>
  <si>
    <t>Продажи SUG (кг/час)</t>
  </si>
  <si>
    <t>total_fuel_sales</t>
  </si>
  <si>
    <t>Суммарные продажи топлива в час</t>
  </si>
  <si>
    <t xml:space="preserve"> Погодные условия </t>
  </si>
  <si>
    <t>temperature</t>
  </si>
  <si>
    <t>float</t>
  </si>
  <si>
    <t>Температура воздуха (°C)</t>
  </si>
  <si>
    <t>weather_condition</t>
  </si>
  <si>
    <t>category</t>
  </si>
  <si>
    <t>Гроза (0/1)</t>
  </si>
  <si>
    <t>precipitation_mm</t>
  </si>
  <si>
    <t>Количество осадков (мм)</t>
  </si>
  <si>
    <t>binary</t>
  </si>
  <si>
    <t>Цены конкурентов</t>
  </si>
  <si>
    <t>competitor_price_AI92</t>
  </si>
  <si>
    <t>competitor_price_AI92_brend</t>
  </si>
  <si>
    <t>competitor_price_AI95</t>
  </si>
  <si>
    <t>competitor_price_AI95_brend</t>
  </si>
  <si>
    <t>competitor_price_DT</t>
  </si>
  <si>
    <t>competitor_price_DT_Brend</t>
  </si>
  <si>
    <t>competitor_price_SUG</t>
  </si>
  <si>
    <t>competitor_price_KPG</t>
  </si>
  <si>
    <t>competitor_price_SPG</t>
  </si>
  <si>
    <t>Цены</t>
  </si>
  <si>
    <t>price_AI92</t>
  </si>
  <si>
    <t>Цена АИ-92 (руб./литр)</t>
  </si>
  <si>
    <t>price_AI92_bio</t>
  </si>
  <si>
    <t>Цена АИ-92 Taneco-bio (руб./литр)</t>
  </si>
  <si>
    <t>price_AI95</t>
  </si>
  <si>
    <t>Цена АИ-95 (руб./литр)</t>
  </si>
  <si>
    <t>price_AI95_bio</t>
  </si>
  <si>
    <t>Цена АИ-95 Taneco-bio (руб./литр)</t>
  </si>
  <si>
    <t>price_AI100_bio</t>
  </si>
  <si>
    <t>Цена АИ-100 Taneco-bio (руб./литр)</t>
  </si>
  <si>
    <t>price_DT</t>
  </si>
  <si>
    <t>Цена ДТ (руб./литр)</t>
  </si>
  <si>
    <t>price_DT_bio</t>
  </si>
  <si>
    <t>Цена ДТ_bio (руб./литр)</t>
  </si>
  <si>
    <t>price_SUG</t>
  </si>
  <si>
    <t>Цена СУГ (руб./литр)</t>
  </si>
  <si>
    <t>price_KPG</t>
  </si>
  <si>
    <t>Цена КПГ (руб./м3)</t>
  </si>
  <si>
    <t>price_SPG</t>
  </si>
  <si>
    <t>Цена СПГ (руб./кг)</t>
  </si>
  <si>
    <t>Временные признаки</t>
  </si>
  <si>
    <t>hour</t>
  </si>
  <si>
    <t>Час дня (0-23)</t>
  </si>
  <si>
    <t>day_of_week</t>
  </si>
  <si>
    <t>День недели (0-6, пн-вс)</t>
  </si>
  <si>
    <t>week_of_year</t>
  </si>
  <si>
    <t>Неделя года (1-52)</t>
  </si>
  <si>
    <t>month</t>
  </si>
  <si>
    <t>Месяц (1-12)</t>
  </si>
  <si>
    <t>quarter</t>
  </si>
  <si>
    <t>Квартал (1-4)</t>
  </si>
  <si>
    <t>season</t>
  </si>
  <si>
    <t>Сезон (winter/spring/summer/autumn)</t>
  </si>
  <si>
    <t>is_weekend</t>
  </si>
  <si>
    <t>Выходной день (0/1)</t>
  </si>
  <si>
    <t>is_holiday</t>
  </si>
  <si>
    <t>Праздничный день (0/1)</t>
  </si>
  <si>
    <t>holiday_name</t>
  </si>
  <si>
    <t>Название праздника</t>
  </si>
  <si>
    <t>Название АЗС 
(АЗС 001)</t>
  </si>
  <si>
    <t>Конкурентная среда</t>
  </si>
  <si>
    <t>Кол-во объектов конкурентов из числа ВИНК в микрорынке АЗС Татнефть</t>
  </si>
  <si>
    <t>Конкурент1</t>
  </si>
  <si>
    <t>Конкурент2</t>
  </si>
  <si>
    <t>Конкурент3</t>
  </si>
  <si>
    <t>Конкурент4</t>
  </si>
  <si>
    <t>Цена конкурента1 на АИ-92 (руб./литр)</t>
  </si>
  <si>
    <t>Цена Конкурента1 на АИ-92 Бренд (руб./литр)</t>
  </si>
  <si>
    <t>Цена Конкурента1 на АИ-95 (руб./литр)</t>
  </si>
  <si>
    <t>Цена Конкурента1 на АИ-95 Бренд (руб./литр)</t>
  </si>
  <si>
    <t>Цена Конкурента1 на ДТ (руб./литр)</t>
  </si>
  <si>
    <t>Цена Конкурента1 на ДТ Бренд (руб./литр)</t>
  </si>
  <si>
    <t>Цена Конкурента1 на СУГ (руб./литр)</t>
  </si>
  <si>
    <t>Цена Конкурента1 на КПГ (руб./м3)</t>
  </si>
  <si>
    <t>Цена Конкурента1 на СПГ (руб./кг)</t>
  </si>
  <si>
    <t>Цена Конкурента2 на АИ-92 (руб./литр)</t>
  </si>
  <si>
    <t>Цена Конкурента2 на АИ-92 Бренд (руб./литр)</t>
  </si>
  <si>
    <t>Цена Конкурента2 на АИ-95 (руб./литр)</t>
  </si>
  <si>
    <t>Цена Конкурента2 на АИ-95 Бренд (руб./литр)</t>
  </si>
  <si>
    <t>Цена Конкурента2 на ДТ (руб./литр)</t>
  </si>
  <si>
    <t>Цена Конкурента2 на ДТ Бренд (руб./литр)</t>
  </si>
  <si>
    <t>Цена Конкурента2 на СУГ (руб./литр)</t>
  </si>
  <si>
    <t>Цена Конкурента2 на КПГ (руб./м3)</t>
  </si>
  <si>
    <t>Цена Конкурента2 на СПГ (руб./кг)</t>
  </si>
  <si>
    <t>Цена Конкурента3 на АИ-92 (руб./литр)</t>
  </si>
  <si>
    <t>Цена Конкурента3 на АИ-92 Бренд (руб./литр)</t>
  </si>
  <si>
    <t>Цена Конкурента3 на АИ-95 (руб./литр)</t>
  </si>
  <si>
    <t>Цена Конкурента3 на АИ-95 Бренд (руб./литр)</t>
  </si>
  <si>
    <t>Цена Конкурента3 на ДТ (руб./литр)</t>
  </si>
  <si>
    <t>Цена Конкурента3 на ДТ Бренд (руб./литр)</t>
  </si>
  <si>
    <t>Цена Конкурента3 на СУГ (руб./литр)</t>
  </si>
  <si>
    <t>Цена Конкурента3 на КПГ (руб./м3)</t>
  </si>
  <si>
    <t>Цена Конкурента3 на СПГ (руб./кг)</t>
  </si>
  <si>
    <t>Цена Конкурента4 на АИ-92 (руб./литр)</t>
  </si>
  <si>
    <t>Цена Конкурента4 на АИ-92 Бренд (руб./литр)</t>
  </si>
  <si>
    <t>Цена Конкурента4 на АИ-95 (руб./литр)</t>
  </si>
  <si>
    <t>Цена Конкурента4 на АИ-95 Бренд (руб./литр)</t>
  </si>
  <si>
    <t>Цена Конкурента4 на ДТ (руб./литр)</t>
  </si>
  <si>
    <t>Цена Конкурента4 на ДТ Бренд (руб./литр)</t>
  </si>
  <si>
    <t>Цена Конкурента4 на СУГ (руб./литр)</t>
  </si>
  <si>
    <t>Цена Конкурента4 на КПГ (руб./м3)</t>
  </si>
  <si>
    <t>Цена Конкурента4 на СПГ (руб./кг)</t>
  </si>
  <si>
    <t>competitor_price_AI100</t>
  </si>
  <si>
    <t>Цена Конкурента1 на АИ-100 (руб./литр)</t>
  </si>
  <si>
    <t>Клиентские характеристики</t>
  </si>
  <si>
    <t>corporate_customer_ratio</t>
  </si>
  <si>
    <t>Доля объема реализации в адрес корпоративных клиентов в общем объеме розничной реализации (0-100%)</t>
  </si>
  <si>
    <t>customer_loyalty_score</t>
  </si>
  <si>
    <t>Доля объема реализации в адрес лояльных клиентов в общем объеме реализации в адрес физ.лиц (0-100%)</t>
  </si>
  <si>
    <t>competitors_конкурент1</t>
  </si>
  <si>
    <t>competitors_конкурент2</t>
  </si>
  <si>
    <t>competitors_конкурент3</t>
  </si>
  <si>
    <t>competitors_конкурент4</t>
  </si>
  <si>
    <t>competitors_private</t>
  </si>
  <si>
    <t>competitors_wink</t>
  </si>
  <si>
    <t>shop_напитки_безалкогольные</t>
  </si>
  <si>
    <t>Продажи напитков безалкогольных</t>
  </si>
  <si>
    <t>shop_кондитерка_снеки</t>
  </si>
  <si>
    <t>Продажи кондитерских изделий и снеков</t>
  </si>
  <si>
    <t>shop_мороженое</t>
  </si>
  <si>
    <t>Продажи мороженого</t>
  </si>
  <si>
    <t>shop_автотовары</t>
  </si>
  <si>
    <t xml:space="preserve">Продажи автотоваров </t>
  </si>
  <si>
    <t>shop_кафе_вся_еда</t>
  </si>
  <si>
    <t>Продажи продукции кафе</t>
  </si>
  <si>
    <t>shop_кофе_все_горячие_напитки</t>
  </si>
  <si>
    <t xml:space="preserve">Продажи кофе </t>
  </si>
  <si>
    <t>shop_табак</t>
  </si>
  <si>
    <t>Продажи табака</t>
  </si>
  <si>
    <t>Продажи сопутствующих товаров</t>
  </si>
  <si>
    <t>promotion_fuel_active</t>
  </si>
  <si>
    <t>promotion_shop_active</t>
  </si>
  <si>
    <t>promotion_cafe_active</t>
  </si>
  <si>
    <t>Акция</t>
  </si>
  <si>
    <t>Акция на топливо активна (0-нет, 1 - региональная, 2 - федеральная, 3 - другое)</t>
  </si>
  <si>
    <t>Акция на товары активна (0-нет, 1 - региональная, 2 - федеральная, 3 - другое)</t>
  </si>
  <si>
    <t>Акция на кафе активна (0-нет, 1 - региональная, 2 - федеральная, 3 - другое)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</si>
</sst>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6"/>
  <sheetViews>
    <sheetView tabSelected="1" zoomScale="70" zoomScaleNormal="70" workbookViewId="0">
      <pane ySplit="3" topLeftCell="A4" activePane="bottomLeft" state="frozen"/>
      <selection pane="bottomLeft" activeCell="N17" sqref="N17"/>
    </sheetView>
  </sheetViews>
  <sheetFormatPr defaultRowHeight="15" x14ac:dyDescent="0.25"/>
  <cols>
    <col min="1" max="1" width="6.28515625" customWidth="1"/>
    <col min="2" max="2" width="29" bestFit="1" customWidth="1"/>
    <col min="3" max="3" width="6.7109375" customWidth="1"/>
    <col min="4" max="4" width="28.7109375" bestFit="1" customWidth="1"/>
    <col min="5" max="5" width="10.140625" customWidth="1"/>
    <col min="6" max="6" width="51.5703125" customWidth="1"/>
  </cols>
  <sheetData>
    <row r="1" spans="1:6" ht="15.6" customHeight="1" x14ac:dyDescent="0.25">
      <c r="A1" s="6" t="s">
        <v>5</v>
      </c>
      <c r="B1" s="6" t="s">
        <v>3</v>
      </c>
      <c r="C1" s="6" t="s">
        <v>6</v>
      </c>
      <c r="D1" s="6" t="s">
        <v>0</v>
      </c>
      <c r="E1" s="6" t="s">
        <v>1</v>
      </c>
      <c r="F1" s="6" t="s">
        <v>2</v>
      </c>
    </row>
    <row r="2" spans="1:6" x14ac:dyDescent="0.25">
      <c r="A2" s="7"/>
      <c r="B2" s="7"/>
      <c r="C2" s="7"/>
      <c r="D2" s="7"/>
      <c r="E2" s="7"/>
      <c r="F2" s="7"/>
    </row>
    <row r="3" spans="1:6" ht="15.75" x14ac:dyDescent="0.25">
      <c r="A3" s="1">
        <v>1</v>
      </c>
      <c r="B3" s="1">
        <f>1+A3</f>
        <v>2</v>
      </c>
      <c r="C3" s="1">
        <f t="shared" ref="C3:D3" si="0">1+B3</f>
        <v>3</v>
      </c>
      <c r="D3" s="1">
        <f t="shared" si="0"/>
        <v>4</v>
      </c>
      <c r="E3" s="1">
        <f t="shared" ref="E3" si="1">1+D3</f>
        <v>5</v>
      </c>
      <c r="F3" s="1">
        <f t="shared" ref="F3" si="2">1+E3</f>
        <v>6</v>
      </c>
    </row>
    <row r="4" spans="1:6" ht="15.75" x14ac:dyDescent="0.25">
      <c r="A4" s="1">
        <v>1</v>
      </c>
      <c r="B4" s="2" t="s">
        <v>4</v>
      </c>
      <c r="C4" s="1">
        <v>1</v>
      </c>
      <c r="D4" s="2" t="s">
        <v>7</v>
      </c>
      <c r="E4" s="2" t="s">
        <v>8</v>
      </c>
      <c r="F4" s="2" t="s">
        <v>9</v>
      </c>
    </row>
    <row r="5" spans="1:6" ht="31.5" x14ac:dyDescent="0.25">
      <c r="A5" s="1">
        <f>1+A4</f>
        <v>2</v>
      </c>
      <c r="B5" s="2" t="s">
        <v>4</v>
      </c>
      <c r="C5" s="1">
        <f>1+C4</f>
        <v>2</v>
      </c>
      <c r="D5" s="2" t="s">
        <v>10</v>
      </c>
      <c r="E5" s="2" t="s">
        <v>11</v>
      </c>
      <c r="F5" s="2" t="s">
        <v>95</v>
      </c>
    </row>
    <row r="6" spans="1:6" ht="15.75" x14ac:dyDescent="0.25">
      <c r="A6" s="1">
        <f>1+A5</f>
        <v>3</v>
      </c>
      <c r="B6" s="2" t="s">
        <v>12</v>
      </c>
      <c r="C6" s="1">
        <v>1</v>
      </c>
      <c r="D6" s="2" t="s">
        <v>13</v>
      </c>
      <c r="E6" s="2" t="s">
        <v>8</v>
      </c>
      <c r="F6" s="2" t="s">
        <v>14</v>
      </c>
    </row>
    <row r="7" spans="1:6" ht="15.75" x14ac:dyDescent="0.25">
      <c r="A7" s="1">
        <f t="shared" ref="A7:A83" si="3">1+A6</f>
        <v>4</v>
      </c>
      <c r="B7" s="2" t="s">
        <v>12</v>
      </c>
      <c r="C7" s="1">
        <f>1+C6</f>
        <v>2</v>
      </c>
      <c r="D7" s="2" t="s">
        <v>15</v>
      </c>
      <c r="E7" s="2" t="s">
        <v>8</v>
      </c>
      <c r="F7" s="2" t="s">
        <v>16</v>
      </c>
    </row>
    <row r="8" spans="1:6" ht="15.75" x14ac:dyDescent="0.25">
      <c r="A8" s="1">
        <f t="shared" si="3"/>
        <v>5</v>
      </c>
      <c r="B8" s="2" t="s">
        <v>12</v>
      </c>
      <c r="C8" s="1">
        <f t="shared" ref="C8:C16" si="4">1+C7</f>
        <v>3</v>
      </c>
      <c r="D8" s="2" t="s">
        <v>17</v>
      </c>
      <c r="E8" s="2" t="s">
        <v>8</v>
      </c>
      <c r="F8" s="2" t="s">
        <v>18</v>
      </c>
    </row>
    <row r="9" spans="1:6" ht="15.75" x14ac:dyDescent="0.25">
      <c r="A9" s="1">
        <f t="shared" si="3"/>
        <v>6</v>
      </c>
      <c r="B9" s="2" t="s">
        <v>12</v>
      </c>
      <c r="C9" s="1">
        <f t="shared" si="4"/>
        <v>4</v>
      </c>
      <c r="D9" s="2" t="s">
        <v>19</v>
      </c>
      <c r="E9" s="2" t="s">
        <v>8</v>
      </c>
      <c r="F9" s="2" t="s">
        <v>20</v>
      </c>
    </row>
    <row r="10" spans="1:6" ht="15.75" x14ac:dyDescent="0.25">
      <c r="A10" s="1">
        <f t="shared" si="3"/>
        <v>7</v>
      </c>
      <c r="B10" s="2" t="s">
        <v>12</v>
      </c>
      <c r="C10" s="1">
        <f t="shared" si="4"/>
        <v>5</v>
      </c>
      <c r="D10" s="2" t="s">
        <v>21</v>
      </c>
      <c r="E10" s="2" t="s">
        <v>8</v>
      </c>
      <c r="F10" s="2" t="s">
        <v>22</v>
      </c>
    </row>
    <row r="11" spans="1:6" ht="15.75" x14ac:dyDescent="0.25">
      <c r="A11" s="1">
        <f t="shared" si="3"/>
        <v>8</v>
      </c>
      <c r="B11" s="2" t="s">
        <v>12</v>
      </c>
      <c r="C11" s="1">
        <f t="shared" si="4"/>
        <v>6</v>
      </c>
      <c r="D11" s="2" t="s">
        <v>23</v>
      </c>
      <c r="E11" s="2" t="s">
        <v>8</v>
      </c>
      <c r="F11" s="2" t="s">
        <v>24</v>
      </c>
    </row>
    <row r="12" spans="1:6" ht="15.75" x14ac:dyDescent="0.25">
      <c r="A12" s="1">
        <f t="shared" si="3"/>
        <v>9</v>
      </c>
      <c r="B12" s="2" t="s">
        <v>12</v>
      </c>
      <c r="C12" s="1">
        <f t="shared" si="4"/>
        <v>7</v>
      </c>
      <c r="D12" s="2" t="s">
        <v>25</v>
      </c>
      <c r="E12" s="2" t="s">
        <v>8</v>
      </c>
      <c r="F12" s="2" t="s">
        <v>26</v>
      </c>
    </row>
    <row r="13" spans="1:6" ht="15.75" x14ac:dyDescent="0.25">
      <c r="A13" s="1">
        <f t="shared" si="3"/>
        <v>10</v>
      </c>
      <c r="B13" s="2" t="s">
        <v>12</v>
      </c>
      <c r="C13" s="1">
        <f t="shared" si="4"/>
        <v>8</v>
      </c>
      <c r="D13" s="2" t="s">
        <v>27</v>
      </c>
      <c r="E13" s="2" t="s">
        <v>8</v>
      </c>
      <c r="F13" s="2" t="s">
        <v>28</v>
      </c>
    </row>
    <row r="14" spans="1:6" ht="15.75" x14ac:dyDescent="0.25">
      <c r="A14" s="1">
        <f t="shared" si="3"/>
        <v>11</v>
      </c>
      <c r="B14" s="2" t="s">
        <v>12</v>
      </c>
      <c r="C14" s="1">
        <f t="shared" si="4"/>
        <v>9</v>
      </c>
      <c r="D14" s="2" t="s">
        <v>29</v>
      </c>
      <c r="E14" s="2" t="s">
        <v>8</v>
      </c>
      <c r="F14" s="2" t="s">
        <v>30</v>
      </c>
    </row>
    <row r="15" spans="1:6" ht="15.75" x14ac:dyDescent="0.25">
      <c r="A15" s="1">
        <f t="shared" si="3"/>
        <v>12</v>
      </c>
      <c r="B15" s="2" t="s">
        <v>12</v>
      </c>
      <c r="C15" s="1">
        <f t="shared" si="4"/>
        <v>10</v>
      </c>
      <c r="D15" s="2" t="s">
        <v>31</v>
      </c>
      <c r="E15" s="2" t="s">
        <v>8</v>
      </c>
      <c r="F15" s="2" t="s">
        <v>32</v>
      </c>
    </row>
    <row r="16" spans="1:6" ht="15.75" x14ac:dyDescent="0.25">
      <c r="A16" s="1">
        <f t="shared" si="3"/>
        <v>13</v>
      </c>
      <c r="B16" s="2" t="s">
        <v>12</v>
      </c>
      <c r="C16" s="1">
        <f t="shared" si="4"/>
        <v>11</v>
      </c>
      <c r="D16" s="2" t="s">
        <v>33</v>
      </c>
      <c r="E16" s="2" t="s">
        <v>8</v>
      </c>
      <c r="F16" s="2" t="s">
        <v>34</v>
      </c>
    </row>
    <row r="17" spans="1:6" ht="15.75" x14ac:dyDescent="0.25">
      <c r="A17" s="1">
        <f t="shared" si="3"/>
        <v>14</v>
      </c>
      <c r="B17" s="2" t="s">
        <v>35</v>
      </c>
      <c r="C17" s="1">
        <v>1</v>
      </c>
      <c r="D17" s="2" t="s">
        <v>36</v>
      </c>
      <c r="E17" s="2" t="s">
        <v>37</v>
      </c>
      <c r="F17" s="2" t="s">
        <v>38</v>
      </c>
    </row>
    <row r="18" spans="1:6" ht="15.75" x14ac:dyDescent="0.25">
      <c r="A18" s="1">
        <f t="shared" si="3"/>
        <v>15</v>
      </c>
      <c r="B18" s="2" t="s">
        <v>35</v>
      </c>
      <c r="C18" s="1">
        <f>1+C17</f>
        <v>2</v>
      </c>
      <c r="D18" s="2" t="s">
        <v>39</v>
      </c>
      <c r="E18" s="2" t="s">
        <v>40</v>
      </c>
      <c r="F18" s="2" t="s">
        <v>41</v>
      </c>
    </row>
    <row r="19" spans="1:6" ht="15.75" x14ac:dyDescent="0.25">
      <c r="A19" s="1">
        <f t="shared" si="3"/>
        <v>16</v>
      </c>
      <c r="B19" s="2" t="s">
        <v>35</v>
      </c>
      <c r="C19" s="1">
        <f t="shared" ref="C19:C83" si="5">1+C18</f>
        <v>3</v>
      </c>
      <c r="D19" s="2" t="s">
        <v>42</v>
      </c>
      <c r="E19" s="2" t="s">
        <v>37</v>
      </c>
      <c r="F19" s="2" t="s">
        <v>43</v>
      </c>
    </row>
    <row r="20" spans="1:6" s="3" customFormat="1" ht="31.5" x14ac:dyDescent="0.25">
      <c r="A20" s="1">
        <f t="shared" si="3"/>
        <v>17</v>
      </c>
      <c r="B20" s="5" t="s">
        <v>96</v>
      </c>
      <c r="C20" s="4">
        <v>1</v>
      </c>
      <c r="D20" s="2" t="s">
        <v>150</v>
      </c>
      <c r="E20" s="2" t="s">
        <v>8</v>
      </c>
      <c r="F20" s="5" t="s">
        <v>97</v>
      </c>
    </row>
    <row r="21" spans="1:6" s="3" customFormat="1" ht="15.75" x14ac:dyDescent="0.25">
      <c r="A21" s="1">
        <f t="shared" si="3"/>
        <v>18</v>
      </c>
      <c r="B21" s="5" t="s">
        <v>96</v>
      </c>
      <c r="C21" s="4">
        <f>1+C20</f>
        <v>2</v>
      </c>
      <c r="D21" s="2" t="s">
        <v>145</v>
      </c>
      <c r="E21" s="2" t="s">
        <v>8</v>
      </c>
      <c r="F21" s="5" t="s">
        <v>98</v>
      </c>
    </row>
    <row r="22" spans="1:6" s="3" customFormat="1" ht="15.75" x14ac:dyDescent="0.25">
      <c r="A22" s="1">
        <f t="shared" si="3"/>
        <v>19</v>
      </c>
      <c r="B22" s="5" t="s">
        <v>96</v>
      </c>
      <c r="C22" s="4">
        <f t="shared" ref="C22:C24" si="6">1+C21</f>
        <v>3</v>
      </c>
      <c r="D22" s="2" t="s">
        <v>146</v>
      </c>
      <c r="E22" s="2" t="s">
        <v>8</v>
      </c>
      <c r="F22" s="5" t="s">
        <v>99</v>
      </c>
    </row>
    <row r="23" spans="1:6" s="3" customFormat="1" ht="15.75" x14ac:dyDescent="0.25">
      <c r="A23" s="1">
        <f t="shared" si="3"/>
        <v>20</v>
      </c>
      <c r="B23" s="5" t="s">
        <v>96</v>
      </c>
      <c r="C23" s="4">
        <f t="shared" si="6"/>
        <v>4</v>
      </c>
      <c r="D23" s="2" t="s">
        <v>147</v>
      </c>
      <c r="E23" s="2" t="s">
        <v>8</v>
      </c>
      <c r="F23" s="5" t="s">
        <v>100</v>
      </c>
    </row>
    <row r="24" spans="1:6" s="3" customFormat="1" ht="15.75" x14ac:dyDescent="0.25">
      <c r="A24" s="1">
        <f t="shared" si="3"/>
        <v>21</v>
      </c>
      <c r="B24" s="5" t="s">
        <v>96</v>
      </c>
      <c r="C24" s="4">
        <f t="shared" si="6"/>
        <v>5</v>
      </c>
      <c r="D24" s="2" t="s">
        <v>148</v>
      </c>
      <c r="E24" s="2" t="s">
        <v>8</v>
      </c>
      <c r="F24" s="5" t="s">
        <v>101</v>
      </c>
    </row>
    <row r="25" spans="1:6" ht="15.75" x14ac:dyDescent="0.25">
      <c r="A25" s="4">
        <f t="shared" si="3"/>
        <v>22</v>
      </c>
      <c r="B25" s="5" t="s">
        <v>45</v>
      </c>
      <c r="C25" s="4">
        <v>1</v>
      </c>
      <c r="D25" s="2" t="s">
        <v>149</v>
      </c>
      <c r="E25" s="2" t="s">
        <v>8</v>
      </c>
      <c r="F25" s="5" t="s">
        <v>102</v>
      </c>
    </row>
    <row r="26" spans="1:6" ht="15.75" x14ac:dyDescent="0.25">
      <c r="A26" s="4">
        <f t="shared" si="3"/>
        <v>23</v>
      </c>
      <c r="B26" s="5" t="s">
        <v>45</v>
      </c>
      <c r="C26" s="4">
        <f t="shared" si="5"/>
        <v>2</v>
      </c>
      <c r="D26" s="5" t="s">
        <v>47</v>
      </c>
      <c r="E26" s="5" t="s">
        <v>37</v>
      </c>
      <c r="F26" s="5" t="s">
        <v>103</v>
      </c>
    </row>
    <row r="27" spans="1:6" ht="15.75" x14ac:dyDescent="0.25">
      <c r="A27" s="4">
        <f t="shared" si="3"/>
        <v>24</v>
      </c>
      <c r="B27" s="5" t="s">
        <v>45</v>
      </c>
      <c r="C27" s="4">
        <f t="shared" si="5"/>
        <v>3</v>
      </c>
      <c r="D27" s="5" t="s">
        <v>48</v>
      </c>
      <c r="E27" s="5" t="s">
        <v>37</v>
      </c>
      <c r="F27" s="5" t="s">
        <v>104</v>
      </c>
    </row>
    <row r="28" spans="1:6" ht="15.75" x14ac:dyDescent="0.25">
      <c r="A28" s="4">
        <f t="shared" si="3"/>
        <v>25</v>
      </c>
      <c r="B28" s="5" t="s">
        <v>45</v>
      </c>
      <c r="C28" s="4">
        <f t="shared" si="5"/>
        <v>4</v>
      </c>
      <c r="D28" s="5" t="s">
        <v>49</v>
      </c>
      <c r="E28" s="5" t="s">
        <v>37</v>
      </c>
      <c r="F28" s="5" t="s">
        <v>105</v>
      </c>
    </row>
    <row r="29" spans="1:6" s="3" customFormat="1" ht="15.75" x14ac:dyDescent="0.25">
      <c r="A29" s="4">
        <f t="shared" si="3"/>
        <v>26</v>
      </c>
      <c r="B29" s="5" t="s">
        <v>45</v>
      </c>
      <c r="C29" s="4">
        <f t="shared" si="5"/>
        <v>5</v>
      </c>
      <c r="D29" s="5" t="s">
        <v>138</v>
      </c>
      <c r="E29" s="5" t="s">
        <v>37</v>
      </c>
      <c r="F29" s="5" t="s">
        <v>139</v>
      </c>
    </row>
    <row r="30" spans="1:6" ht="15.75" x14ac:dyDescent="0.25">
      <c r="A30" s="4">
        <f>1+A28</f>
        <v>26</v>
      </c>
      <c r="B30" s="5" t="s">
        <v>45</v>
      </c>
      <c r="C30" s="4">
        <f>1+C28</f>
        <v>5</v>
      </c>
      <c r="D30" s="5" t="s">
        <v>50</v>
      </c>
      <c r="E30" s="5" t="s">
        <v>37</v>
      </c>
      <c r="F30" s="5" t="s">
        <v>106</v>
      </c>
    </row>
    <row r="31" spans="1:6" ht="15.75" x14ac:dyDescent="0.25">
      <c r="A31" s="4">
        <f t="shared" si="3"/>
        <v>27</v>
      </c>
      <c r="B31" s="5" t="s">
        <v>45</v>
      </c>
      <c r="C31" s="4">
        <f t="shared" si="5"/>
        <v>6</v>
      </c>
      <c r="D31" s="5" t="s">
        <v>51</v>
      </c>
      <c r="E31" s="5" t="s">
        <v>37</v>
      </c>
      <c r="F31" s="5" t="s">
        <v>107</v>
      </c>
    </row>
    <row r="32" spans="1:6" ht="15.75" x14ac:dyDescent="0.25">
      <c r="A32" s="4">
        <f t="shared" si="3"/>
        <v>28</v>
      </c>
      <c r="B32" s="5" t="s">
        <v>45</v>
      </c>
      <c r="C32" s="4">
        <f t="shared" si="5"/>
        <v>7</v>
      </c>
      <c r="D32" s="5" t="s">
        <v>52</v>
      </c>
      <c r="E32" s="5" t="s">
        <v>37</v>
      </c>
      <c r="F32" s="5" t="s">
        <v>108</v>
      </c>
    </row>
    <row r="33" spans="1:6" ht="15.75" x14ac:dyDescent="0.25">
      <c r="A33" s="4">
        <f t="shared" si="3"/>
        <v>29</v>
      </c>
      <c r="B33" s="5" t="s">
        <v>45</v>
      </c>
      <c r="C33" s="4">
        <f t="shared" si="5"/>
        <v>8</v>
      </c>
      <c r="D33" s="5" t="s">
        <v>53</v>
      </c>
      <c r="E33" s="5" t="s">
        <v>37</v>
      </c>
      <c r="F33" s="5" t="s">
        <v>109</v>
      </c>
    </row>
    <row r="34" spans="1:6" ht="15.75" x14ac:dyDescent="0.25">
      <c r="A34" s="4">
        <f t="shared" si="3"/>
        <v>30</v>
      </c>
      <c r="B34" s="5" t="s">
        <v>45</v>
      </c>
      <c r="C34" s="4">
        <f t="shared" si="5"/>
        <v>9</v>
      </c>
      <c r="D34" s="5" t="s">
        <v>54</v>
      </c>
      <c r="E34" s="5" t="s">
        <v>37</v>
      </c>
      <c r="F34" s="5" t="s">
        <v>110</v>
      </c>
    </row>
    <row r="35" spans="1:6" s="3" customFormat="1" ht="15.75" x14ac:dyDescent="0.25">
      <c r="A35" s="4">
        <f t="shared" si="3"/>
        <v>31</v>
      </c>
      <c r="B35" s="5" t="s">
        <v>45</v>
      </c>
      <c r="C35" s="4">
        <v>1</v>
      </c>
      <c r="D35" s="5" t="s">
        <v>46</v>
      </c>
      <c r="E35" s="5" t="s">
        <v>37</v>
      </c>
      <c r="F35" s="5" t="s">
        <v>111</v>
      </c>
    </row>
    <row r="36" spans="1:6" s="3" customFormat="1" ht="15.75" x14ac:dyDescent="0.25">
      <c r="A36" s="4">
        <f t="shared" si="3"/>
        <v>32</v>
      </c>
      <c r="B36" s="5" t="s">
        <v>45</v>
      </c>
      <c r="C36" s="4">
        <f t="shared" si="5"/>
        <v>2</v>
      </c>
      <c r="D36" s="5" t="s">
        <v>47</v>
      </c>
      <c r="E36" s="5" t="s">
        <v>37</v>
      </c>
      <c r="F36" s="5" t="s">
        <v>112</v>
      </c>
    </row>
    <row r="37" spans="1:6" s="3" customFormat="1" ht="15.75" x14ac:dyDescent="0.25">
      <c r="A37" s="4">
        <f t="shared" si="3"/>
        <v>33</v>
      </c>
      <c r="B37" s="5" t="s">
        <v>45</v>
      </c>
      <c r="C37" s="4">
        <f t="shared" si="5"/>
        <v>3</v>
      </c>
      <c r="D37" s="5" t="s">
        <v>48</v>
      </c>
      <c r="E37" s="5" t="s">
        <v>37</v>
      </c>
      <c r="F37" s="5" t="s">
        <v>113</v>
      </c>
    </row>
    <row r="38" spans="1:6" s="3" customFormat="1" ht="15.75" x14ac:dyDescent="0.25">
      <c r="A38" s="4">
        <f t="shared" si="3"/>
        <v>34</v>
      </c>
      <c r="B38" s="5" t="s">
        <v>45</v>
      </c>
      <c r="C38" s="4">
        <f t="shared" si="5"/>
        <v>4</v>
      </c>
      <c r="D38" s="5" t="s">
        <v>49</v>
      </c>
      <c r="E38" s="5" t="s">
        <v>37</v>
      </c>
      <c r="F38" s="5" t="s">
        <v>114</v>
      </c>
    </row>
    <row r="39" spans="1:6" s="3" customFormat="1" ht="15.75" x14ac:dyDescent="0.25">
      <c r="A39" s="4">
        <f t="shared" si="3"/>
        <v>35</v>
      </c>
      <c r="B39" s="5" t="s">
        <v>45</v>
      </c>
      <c r="C39" s="4">
        <f t="shared" si="5"/>
        <v>5</v>
      </c>
      <c r="D39" s="5" t="s">
        <v>138</v>
      </c>
      <c r="E39" s="5" t="s">
        <v>37</v>
      </c>
      <c r="F39" s="5" t="s">
        <v>139</v>
      </c>
    </row>
    <row r="40" spans="1:6" s="3" customFormat="1" ht="15.75" x14ac:dyDescent="0.25">
      <c r="A40" s="4">
        <f t="shared" si="3"/>
        <v>36</v>
      </c>
      <c r="B40" s="5" t="s">
        <v>45</v>
      </c>
      <c r="C40" s="4">
        <f>1+C38</f>
        <v>5</v>
      </c>
      <c r="D40" s="5" t="s">
        <v>50</v>
      </c>
      <c r="E40" s="5" t="s">
        <v>37</v>
      </c>
      <c r="F40" s="5" t="s">
        <v>115</v>
      </c>
    </row>
    <row r="41" spans="1:6" s="3" customFormat="1" ht="15.75" x14ac:dyDescent="0.25">
      <c r="A41" s="4">
        <f t="shared" si="3"/>
        <v>37</v>
      </c>
      <c r="B41" s="5" t="s">
        <v>45</v>
      </c>
      <c r="C41" s="4">
        <f t="shared" si="5"/>
        <v>6</v>
      </c>
      <c r="D41" s="5" t="s">
        <v>51</v>
      </c>
      <c r="E41" s="5" t="s">
        <v>37</v>
      </c>
      <c r="F41" s="5" t="s">
        <v>116</v>
      </c>
    </row>
    <row r="42" spans="1:6" s="3" customFormat="1" ht="15.75" x14ac:dyDescent="0.25">
      <c r="A42" s="4">
        <f t="shared" si="3"/>
        <v>38</v>
      </c>
      <c r="B42" s="5" t="s">
        <v>45</v>
      </c>
      <c r="C42" s="4">
        <f t="shared" si="5"/>
        <v>7</v>
      </c>
      <c r="D42" s="5" t="s">
        <v>52</v>
      </c>
      <c r="E42" s="5" t="s">
        <v>37</v>
      </c>
      <c r="F42" s="5" t="s">
        <v>117</v>
      </c>
    </row>
    <row r="43" spans="1:6" s="3" customFormat="1" ht="15.75" x14ac:dyDescent="0.25">
      <c r="A43" s="4">
        <f t="shared" si="3"/>
        <v>39</v>
      </c>
      <c r="B43" s="5" t="s">
        <v>45</v>
      </c>
      <c r="C43" s="4">
        <f t="shared" si="5"/>
        <v>8</v>
      </c>
      <c r="D43" s="5" t="s">
        <v>53</v>
      </c>
      <c r="E43" s="5" t="s">
        <v>37</v>
      </c>
      <c r="F43" s="5" t="s">
        <v>118</v>
      </c>
    </row>
    <row r="44" spans="1:6" s="3" customFormat="1" ht="15.75" x14ac:dyDescent="0.25">
      <c r="A44" s="4">
        <f t="shared" si="3"/>
        <v>40</v>
      </c>
      <c r="B44" s="5" t="s">
        <v>45</v>
      </c>
      <c r="C44" s="4">
        <f t="shared" si="5"/>
        <v>9</v>
      </c>
      <c r="D44" s="5" t="s">
        <v>54</v>
      </c>
      <c r="E44" s="5" t="s">
        <v>37</v>
      </c>
      <c r="F44" s="5" t="s">
        <v>119</v>
      </c>
    </row>
    <row r="45" spans="1:6" s="3" customFormat="1" ht="15.75" x14ac:dyDescent="0.25">
      <c r="A45" s="4">
        <f t="shared" si="3"/>
        <v>41</v>
      </c>
      <c r="B45" s="5" t="s">
        <v>45</v>
      </c>
      <c r="C45" s="4">
        <v>1</v>
      </c>
      <c r="D45" s="5" t="s">
        <v>46</v>
      </c>
      <c r="E45" s="5" t="s">
        <v>37</v>
      </c>
      <c r="F45" s="5" t="s">
        <v>120</v>
      </c>
    </row>
    <row r="46" spans="1:6" s="3" customFormat="1" ht="15.75" x14ac:dyDescent="0.25">
      <c r="A46" s="4">
        <f t="shared" si="3"/>
        <v>42</v>
      </c>
      <c r="B46" s="5" t="s">
        <v>45</v>
      </c>
      <c r="C46" s="4">
        <f t="shared" si="5"/>
        <v>2</v>
      </c>
      <c r="D46" s="5" t="s">
        <v>47</v>
      </c>
      <c r="E46" s="5" t="s">
        <v>37</v>
      </c>
      <c r="F46" s="5" t="s">
        <v>121</v>
      </c>
    </row>
    <row r="47" spans="1:6" s="3" customFormat="1" ht="15.75" x14ac:dyDescent="0.25">
      <c r="A47" s="4">
        <f t="shared" si="3"/>
        <v>43</v>
      </c>
      <c r="B47" s="5" t="s">
        <v>45</v>
      </c>
      <c r="C47" s="4">
        <f t="shared" si="5"/>
        <v>3</v>
      </c>
      <c r="D47" s="5" t="s">
        <v>48</v>
      </c>
      <c r="E47" s="5" t="s">
        <v>37</v>
      </c>
      <c r="F47" s="5" t="s">
        <v>122</v>
      </c>
    </row>
    <row r="48" spans="1:6" s="3" customFormat="1" ht="15.75" x14ac:dyDescent="0.25">
      <c r="A48" s="4">
        <f t="shared" si="3"/>
        <v>44</v>
      </c>
      <c r="B48" s="5" t="s">
        <v>45</v>
      </c>
      <c r="C48" s="4">
        <f t="shared" si="5"/>
        <v>4</v>
      </c>
      <c r="D48" s="5" t="s">
        <v>49</v>
      </c>
      <c r="E48" s="5" t="s">
        <v>37</v>
      </c>
      <c r="F48" s="5" t="s">
        <v>123</v>
      </c>
    </row>
    <row r="49" spans="1:6" s="3" customFormat="1" ht="15.75" x14ac:dyDescent="0.25">
      <c r="A49" s="4">
        <f t="shared" si="3"/>
        <v>45</v>
      </c>
      <c r="B49" s="5" t="s">
        <v>45</v>
      </c>
      <c r="C49" s="4">
        <f t="shared" si="5"/>
        <v>5</v>
      </c>
      <c r="D49" s="5" t="s">
        <v>138</v>
      </c>
      <c r="E49" s="5" t="s">
        <v>37</v>
      </c>
      <c r="F49" s="5" t="s">
        <v>139</v>
      </c>
    </row>
    <row r="50" spans="1:6" s="3" customFormat="1" ht="15.75" x14ac:dyDescent="0.25">
      <c r="A50" s="4">
        <f t="shared" si="3"/>
        <v>46</v>
      </c>
      <c r="B50" s="5" t="s">
        <v>45</v>
      </c>
      <c r="C50" s="4">
        <f>1+C48</f>
        <v>5</v>
      </c>
      <c r="D50" s="5" t="s">
        <v>50</v>
      </c>
      <c r="E50" s="5" t="s">
        <v>37</v>
      </c>
      <c r="F50" s="5" t="s">
        <v>124</v>
      </c>
    </row>
    <row r="51" spans="1:6" s="3" customFormat="1" ht="15.75" x14ac:dyDescent="0.25">
      <c r="A51" s="4">
        <f t="shared" si="3"/>
        <v>47</v>
      </c>
      <c r="B51" s="5" t="s">
        <v>45</v>
      </c>
      <c r="C51" s="4">
        <f t="shared" si="5"/>
        <v>6</v>
      </c>
      <c r="D51" s="5" t="s">
        <v>51</v>
      </c>
      <c r="E51" s="5" t="s">
        <v>37</v>
      </c>
      <c r="F51" s="5" t="s">
        <v>125</v>
      </c>
    </row>
    <row r="52" spans="1:6" s="3" customFormat="1" ht="15.75" x14ac:dyDescent="0.25">
      <c r="A52" s="4">
        <f t="shared" si="3"/>
        <v>48</v>
      </c>
      <c r="B52" s="5" t="s">
        <v>45</v>
      </c>
      <c r="C52" s="4">
        <f t="shared" si="5"/>
        <v>7</v>
      </c>
      <c r="D52" s="5" t="s">
        <v>52</v>
      </c>
      <c r="E52" s="5" t="s">
        <v>37</v>
      </c>
      <c r="F52" s="5" t="s">
        <v>126</v>
      </c>
    </row>
    <row r="53" spans="1:6" s="3" customFormat="1" ht="15.75" x14ac:dyDescent="0.25">
      <c r="A53" s="4">
        <f t="shared" si="3"/>
        <v>49</v>
      </c>
      <c r="B53" s="5" t="s">
        <v>45</v>
      </c>
      <c r="C53" s="4">
        <f t="shared" si="5"/>
        <v>8</v>
      </c>
      <c r="D53" s="5" t="s">
        <v>53</v>
      </c>
      <c r="E53" s="5" t="s">
        <v>37</v>
      </c>
      <c r="F53" s="5" t="s">
        <v>127</v>
      </c>
    </row>
    <row r="54" spans="1:6" s="3" customFormat="1" ht="15.75" x14ac:dyDescent="0.25">
      <c r="A54" s="4">
        <f t="shared" si="3"/>
        <v>50</v>
      </c>
      <c r="B54" s="5" t="s">
        <v>45</v>
      </c>
      <c r="C54" s="4">
        <f t="shared" si="5"/>
        <v>9</v>
      </c>
      <c r="D54" s="5" t="s">
        <v>54</v>
      </c>
      <c r="E54" s="5" t="s">
        <v>37</v>
      </c>
      <c r="F54" s="5" t="s">
        <v>128</v>
      </c>
    </row>
    <row r="55" spans="1:6" s="3" customFormat="1" ht="15.75" x14ac:dyDescent="0.25">
      <c r="A55" s="4">
        <f t="shared" si="3"/>
        <v>51</v>
      </c>
      <c r="B55" s="5" t="s">
        <v>45</v>
      </c>
      <c r="C55" s="4">
        <v>1</v>
      </c>
      <c r="D55" s="5" t="s">
        <v>46</v>
      </c>
      <c r="E55" s="5" t="s">
        <v>37</v>
      </c>
      <c r="F55" s="5" t="s">
        <v>129</v>
      </c>
    </row>
    <row r="56" spans="1:6" s="3" customFormat="1" ht="15.75" x14ac:dyDescent="0.25">
      <c r="A56" s="4">
        <f t="shared" si="3"/>
        <v>52</v>
      </c>
      <c r="B56" s="5" t="s">
        <v>45</v>
      </c>
      <c r="C56" s="4">
        <f t="shared" si="5"/>
        <v>2</v>
      </c>
      <c r="D56" s="5" t="s">
        <v>47</v>
      </c>
      <c r="E56" s="5" t="s">
        <v>37</v>
      </c>
      <c r="F56" s="5" t="s">
        <v>130</v>
      </c>
    </row>
    <row r="57" spans="1:6" s="3" customFormat="1" ht="15.75" x14ac:dyDescent="0.25">
      <c r="A57" s="4">
        <f t="shared" si="3"/>
        <v>53</v>
      </c>
      <c r="B57" s="5" t="s">
        <v>45</v>
      </c>
      <c r="C57" s="4">
        <f t="shared" si="5"/>
        <v>3</v>
      </c>
      <c r="D57" s="5" t="s">
        <v>48</v>
      </c>
      <c r="E57" s="5" t="s">
        <v>37</v>
      </c>
      <c r="F57" s="5" t="s">
        <v>131</v>
      </c>
    </row>
    <row r="58" spans="1:6" s="3" customFormat="1" ht="15.75" x14ac:dyDescent="0.25">
      <c r="A58" s="4">
        <f t="shared" si="3"/>
        <v>54</v>
      </c>
      <c r="B58" s="5" t="s">
        <v>45</v>
      </c>
      <c r="C58" s="4">
        <f t="shared" si="5"/>
        <v>4</v>
      </c>
      <c r="D58" s="5" t="s">
        <v>49</v>
      </c>
      <c r="E58" s="5" t="s">
        <v>37</v>
      </c>
      <c r="F58" s="5" t="s">
        <v>132</v>
      </c>
    </row>
    <row r="59" spans="1:6" s="3" customFormat="1" ht="15.75" x14ac:dyDescent="0.25">
      <c r="A59" s="4">
        <f t="shared" si="3"/>
        <v>55</v>
      </c>
      <c r="B59" s="5" t="s">
        <v>45</v>
      </c>
      <c r="C59" s="4">
        <f t="shared" si="5"/>
        <v>5</v>
      </c>
      <c r="D59" s="5" t="s">
        <v>138</v>
      </c>
      <c r="E59" s="5" t="s">
        <v>37</v>
      </c>
      <c r="F59" s="5" t="s">
        <v>139</v>
      </c>
    </row>
    <row r="60" spans="1:6" s="3" customFormat="1" ht="15.75" x14ac:dyDescent="0.25">
      <c r="A60" s="4">
        <f t="shared" si="3"/>
        <v>56</v>
      </c>
      <c r="B60" s="5" t="s">
        <v>45</v>
      </c>
      <c r="C60" s="4">
        <f>1+C58</f>
        <v>5</v>
      </c>
      <c r="D60" s="5" t="s">
        <v>50</v>
      </c>
      <c r="E60" s="5" t="s">
        <v>37</v>
      </c>
      <c r="F60" s="5" t="s">
        <v>133</v>
      </c>
    </row>
    <row r="61" spans="1:6" s="3" customFormat="1" ht="15.75" x14ac:dyDescent="0.25">
      <c r="A61" s="4">
        <f t="shared" si="3"/>
        <v>57</v>
      </c>
      <c r="B61" s="5" t="s">
        <v>45</v>
      </c>
      <c r="C61" s="4">
        <f t="shared" si="5"/>
        <v>6</v>
      </c>
      <c r="D61" s="5" t="s">
        <v>51</v>
      </c>
      <c r="E61" s="5" t="s">
        <v>37</v>
      </c>
      <c r="F61" s="5" t="s">
        <v>134</v>
      </c>
    </row>
    <row r="62" spans="1:6" s="3" customFormat="1" ht="15.75" x14ac:dyDescent="0.25">
      <c r="A62" s="4">
        <f t="shared" si="3"/>
        <v>58</v>
      </c>
      <c r="B62" s="5" t="s">
        <v>45</v>
      </c>
      <c r="C62" s="4">
        <f t="shared" si="5"/>
        <v>7</v>
      </c>
      <c r="D62" s="5" t="s">
        <v>52</v>
      </c>
      <c r="E62" s="5" t="s">
        <v>37</v>
      </c>
      <c r="F62" s="5" t="s">
        <v>135</v>
      </c>
    </row>
    <row r="63" spans="1:6" s="3" customFormat="1" ht="15.75" x14ac:dyDescent="0.25">
      <c r="A63" s="4">
        <f t="shared" si="3"/>
        <v>59</v>
      </c>
      <c r="B63" s="5" t="s">
        <v>45</v>
      </c>
      <c r="C63" s="4">
        <f t="shared" si="5"/>
        <v>8</v>
      </c>
      <c r="D63" s="5" t="s">
        <v>53</v>
      </c>
      <c r="E63" s="5" t="s">
        <v>37</v>
      </c>
      <c r="F63" s="5" t="s">
        <v>136</v>
      </c>
    </row>
    <row r="64" spans="1:6" s="3" customFormat="1" ht="15.75" x14ac:dyDescent="0.25">
      <c r="A64" s="4">
        <f t="shared" si="3"/>
        <v>60</v>
      </c>
      <c r="B64" s="5" t="s">
        <v>45</v>
      </c>
      <c r="C64" s="4">
        <f t="shared" si="5"/>
        <v>9</v>
      </c>
      <c r="D64" s="5" t="s">
        <v>54</v>
      </c>
      <c r="E64" s="5" t="s">
        <v>37</v>
      </c>
      <c r="F64" s="5" t="s">
        <v>137</v>
      </c>
    </row>
    <row r="65" spans="1:6" ht="15.75" x14ac:dyDescent="0.25">
      <c r="A65" s="4">
        <f t="shared" si="3"/>
        <v>61</v>
      </c>
      <c r="B65" s="5" t="s">
        <v>55</v>
      </c>
      <c r="C65" s="4">
        <v>1</v>
      </c>
      <c r="D65" s="5" t="s">
        <v>56</v>
      </c>
      <c r="E65" s="5" t="s">
        <v>37</v>
      </c>
      <c r="F65" s="5" t="s">
        <v>57</v>
      </c>
    </row>
    <row r="66" spans="1:6" ht="15.75" x14ac:dyDescent="0.25">
      <c r="A66" s="4">
        <f t="shared" si="3"/>
        <v>62</v>
      </c>
      <c r="B66" s="5" t="s">
        <v>55</v>
      </c>
      <c r="C66" s="4">
        <f t="shared" si="5"/>
        <v>2</v>
      </c>
      <c r="D66" s="5" t="s">
        <v>58</v>
      </c>
      <c r="E66" s="5" t="s">
        <v>37</v>
      </c>
      <c r="F66" s="5" t="s">
        <v>59</v>
      </c>
    </row>
    <row r="67" spans="1:6" ht="15.75" x14ac:dyDescent="0.25">
      <c r="A67" s="4">
        <f t="shared" si="3"/>
        <v>63</v>
      </c>
      <c r="B67" s="5" t="s">
        <v>55</v>
      </c>
      <c r="C67" s="4">
        <f t="shared" si="5"/>
        <v>3</v>
      </c>
      <c r="D67" s="5" t="s">
        <v>60</v>
      </c>
      <c r="E67" s="5" t="s">
        <v>37</v>
      </c>
      <c r="F67" s="5" t="s">
        <v>61</v>
      </c>
    </row>
    <row r="68" spans="1:6" ht="15.75" x14ac:dyDescent="0.25">
      <c r="A68" s="4">
        <f t="shared" si="3"/>
        <v>64</v>
      </c>
      <c r="B68" s="5" t="s">
        <v>55</v>
      </c>
      <c r="C68" s="4">
        <f t="shared" si="5"/>
        <v>4</v>
      </c>
      <c r="D68" s="5" t="s">
        <v>62</v>
      </c>
      <c r="E68" s="5" t="s">
        <v>37</v>
      </c>
      <c r="F68" s="5" t="s">
        <v>63</v>
      </c>
    </row>
    <row r="69" spans="1:6" ht="15.75" x14ac:dyDescent="0.25">
      <c r="A69" s="4">
        <f t="shared" si="3"/>
        <v>65</v>
      </c>
      <c r="B69" s="5" t="s">
        <v>55</v>
      </c>
      <c r="C69" s="4">
        <f t="shared" si="5"/>
        <v>5</v>
      </c>
      <c r="D69" s="5" t="s">
        <v>64</v>
      </c>
      <c r="E69" s="5" t="s">
        <v>37</v>
      </c>
      <c r="F69" s="5" t="s">
        <v>65</v>
      </c>
    </row>
    <row r="70" spans="1:6" ht="15.75" x14ac:dyDescent="0.25">
      <c r="A70" s="4">
        <f t="shared" si="3"/>
        <v>66</v>
      </c>
      <c r="B70" s="5" t="s">
        <v>55</v>
      </c>
      <c r="C70" s="4">
        <f t="shared" si="5"/>
        <v>6</v>
      </c>
      <c r="D70" s="5" t="s">
        <v>66</v>
      </c>
      <c r="E70" s="5" t="s">
        <v>37</v>
      </c>
      <c r="F70" s="5" t="s">
        <v>67</v>
      </c>
    </row>
    <row r="71" spans="1:6" ht="15.75" x14ac:dyDescent="0.25">
      <c r="A71" s="4">
        <f t="shared" si="3"/>
        <v>67</v>
      </c>
      <c r="B71" s="5" t="s">
        <v>55</v>
      </c>
      <c r="C71" s="4">
        <f t="shared" si="5"/>
        <v>7</v>
      </c>
      <c r="D71" s="5" t="s">
        <v>68</v>
      </c>
      <c r="E71" s="5" t="s">
        <v>37</v>
      </c>
      <c r="F71" s="5" t="s">
        <v>69</v>
      </c>
    </row>
    <row r="72" spans="1:6" ht="15.75" x14ac:dyDescent="0.25">
      <c r="A72" s="4">
        <f t="shared" si="3"/>
        <v>68</v>
      </c>
      <c r="B72" s="5" t="s">
        <v>55</v>
      </c>
      <c r="C72" s="4">
        <f t="shared" si="5"/>
        <v>8</v>
      </c>
      <c r="D72" s="5" t="s">
        <v>70</v>
      </c>
      <c r="E72" s="5" t="s">
        <v>37</v>
      </c>
      <c r="F72" s="5" t="s">
        <v>71</v>
      </c>
    </row>
    <row r="73" spans="1:6" ht="15.75" x14ac:dyDescent="0.25">
      <c r="A73" s="4">
        <f t="shared" si="3"/>
        <v>69</v>
      </c>
      <c r="B73" s="5" t="s">
        <v>55</v>
      </c>
      <c r="C73" s="4">
        <f t="shared" si="5"/>
        <v>9</v>
      </c>
      <c r="D73" s="5" t="s">
        <v>72</v>
      </c>
      <c r="E73" s="5" t="s">
        <v>37</v>
      </c>
      <c r="F73" s="5" t="s">
        <v>73</v>
      </c>
    </row>
    <row r="74" spans="1:6" ht="15.75" x14ac:dyDescent="0.25">
      <c r="A74" s="4">
        <f t="shared" si="3"/>
        <v>70</v>
      </c>
      <c r="B74" s="5" t="s">
        <v>55</v>
      </c>
      <c r="C74" s="4">
        <f t="shared" si="5"/>
        <v>10</v>
      </c>
      <c r="D74" s="5" t="s">
        <v>74</v>
      </c>
      <c r="E74" s="5" t="s">
        <v>37</v>
      </c>
      <c r="F74" s="5" t="s">
        <v>75</v>
      </c>
    </row>
    <row r="75" spans="1:6" ht="16.899999999999999" customHeight="1" x14ac:dyDescent="0.25">
      <c r="A75" s="4">
        <f t="shared" si="3"/>
        <v>71</v>
      </c>
      <c r="B75" s="5" t="s">
        <v>76</v>
      </c>
      <c r="C75" s="4">
        <v>1</v>
      </c>
      <c r="D75" s="5" t="s">
        <v>77</v>
      </c>
      <c r="E75" s="5" t="s">
        <v>8</v>
      </c>
      <c r="F75" s="5" t="s">
        <v>78</v>
      </c>
    </row>
    <row r="76" spans="1:6" ht="15.75" x14ac:dyDescent="0.25">
      <c r="A76" s="4">
        <f t="shared" si="3"/>
        <v>72</v>
      </c>
      <c r="B76" s="5" t="s">
        <v>76</v>
      </c>
      <c r="C76" s="4">
        <f t="shared" si="5"/>
        <v>2</v>
      </c>
      <c r="D76" s="5" t="s">
        <v>79</v>
      </c>
      <c r="E76" s="5" t="s">
        <v>8</v>
      </c>
      <c r="F76" s="5" t="s">
        <v>80</v>
      </c>
    </row>
    <row r="77" spans="1:6" ht="15.75" x14ac:dyDescent="0.25">
      <c r="A77" s="4">
        <f t="shared" si="3"/>
        <v>73</v>
      </c>
      <c r="B77" s="5" t="s">
        <v>76</v>
      </c>
      <c r="C77" s="4">
        <f t="shared" si="5"/>
        <v>3</v>
      </c>
      <c r="D77" s="5" t="s">
        <v>81</v>
      </c>
      <c r="E77" s="5" t="s">
        <v>8</v>
      </c>
      <c r="F77" s="5" t="s">
        <v>82</v>
      </c>
    </row>
    <row r="78" spans="1:6" ht="15.75" x14ac:dyDescent="0.25">
      <c r="A78" s="1">
        <f t="shared" si="3"/>
        <v>74</v>
      </c>
      <c r="B78" s="2" t="s">
        <v>76</v>
      </c>
      <c r="C78" s="1">
        <f t="shared" si="5"/>
        <v>4</v>
      </c>
      <c r="D78" s="2" t="s">
        <v>83</v>
      </c>
      <c r="E78" s="2" t="s">
        <v>8</v>
      </c>
      <c r="F78" s="2" t="s">
        <v>84</v>
      </c>
    </row>
    <row r="79" spans="1:6" ht="15.75" x14ac:dyDescent="0.25">
      <c r="A79" s="1">
        <f t="shared" si="3"/>
        <v>75</v>
      </c>
      <c r="B79" s="2" t="s">
        <v>76</v>
      </c>
      <c r="C79" s="1">
        <f t="shared" si="5"/>
        <v>5</v>
      </c>
      <c r="D79" s="2" t="s">
        <v>85</v>
      </c>
      <c r="E79" s="2" t="s">
        <v>8</v>
      </c>
      <c r="F79" s="2" t="s">
        <v>86</v>
      </c>
    </row>
    <row r="80" spans="1:6" ht="15.75" x14ac:dyDescent="0.25">
      <c r="A80" s="1">
        <f t="shared" si="3"/>
        <v>76</v>
      </c>
      <c r="B80" s="2" t="s">
        <v>76</v>
      </c>
      <c r="C80" s="1">
        <f t="shared" si="5"/>
        <v>6</v>
      </c>
      <c r="D80" s="2" t="s">
        <v>87</v>
      </c>
      <c r="E80" s="2" t="s">
        <v>40</v>
      </c>
      <c r="F80" s="2" t="s">
        <v>88</v>
      </c>
    </row>
    <row r="81" spans="1:6" ht="15.75" x14ac:dyDescent="0.25">
      <c r="A81" s="1">
        <f t="shared" si="3"/>
        <v>77</v>
      </c>
      <c r="B81" s="2" t="s">
        <v>76</v>
      </c>
      <c r="C81" s="1">
        <f t="shared" si="5"/>
        <v>7</v>
      </c>
      <c r="D81" s="2" t="s">
        <v>89</v>
      </c>
      <c r="E81" s="2" t="s">
        <v>44</v>
      </c>
      <c r="F81" s="2" t="s">
        <v>90</v>
      </c>
    </row>
    <row r="82" spans="1:6" ht="15.75" x14ac:dyDescent="0.25">
      <c r="A82" s="1">
        <f t="shared" si="3"/>
        <v>78</v>
      </c>
      <c r="B82" s="2" t="s">
        <v>76</v>
      </c>
      <c r="C82" s="1">
        <f t="shared" si="5"/>
        <v>8</v>
      </c>
      <c r="D82" s="2" t="s">
        <v>91</v>
      </c>
      <c r="E82" s="2" t="s">
        <v>44</v>
      </c>
      <c r="F82" s="2" t="s">
        <v>92</v>
      </c>
    </row>
    <row r="83" spans="1:6" ht="15.75" x14ac:dyDescent="0.25">
      <c r="A83" s="1">
        <f t="shared" si="3"/>
        <v>79</v>
      </c>
      <c r="B83" s="2" t="s">
        <v>76</v>
      </c>
      <c r="C83" s="1">
        <f t="shared" si="5"/>
        <v>9</v>
      </c>
      <c r="D83" s="2" t="s">
        <v>93</v>
      </c>
      <c r="E83" s="2" t="s">
        <v>11</v>
      </c>
      <c r="F83" s="2" t="s">
        <v>94</v>
      </c>
    </row>
    <row r="84" spans="1:6" ht="47.25" x14ac:dyDescent="0.25">
      <c r="A84" s="1">
        <f t="shared" ref="A84:A85" si="7">1+A83</f>
        <v>80</v>
      </c>
      <c r="B84" s="2" t="s">
        <v>140</v>
      </c>
      <c r="C84" s="1">
        <v>1</v>
      </c>
      <c r="D84" s="2" t="s">
        <v>141</v>
      </c>
      <c r="E84" s="2" t="s">
        <v>37</v>
      </c>
      <c r="F84" s="5" t="s">
        <v>142</v>
      </c>
    </row>
    <row r="85" spans="1:6" ht="47.25" x14ac:dyDescent="0.25">
      <c r="A85" s="1">
        <f t="shared" si="7"/>
        <v>81</v>
      </c>
      <c r="B85" s="2" t="s">
        <v>140</v>
      </c>
      <c r="C85" s="1">
        <f t="shared" ref="C85" si="8">1+C84</f>
        <v>2</v>
      </c>
      <c r="D85" s="2" t="s">
        <v>143</v>
      </c>
      <c r="E85" s="2" t="s">
        <v>37</v>
      </c>
      <c r="F85" s="5" t="s">
        <v>144</v>
      </c>
    </row>
    <row r="86" spans="1:6" ht="31.5" x14ac:dyDescent="0.25">
      <c r="A86" s="1">
        <f>1+A85</f>
        <v>82</v>
      </c>
      <c r="B86" s="2" t="s">
        <v>165</v>
      </c>
      <c r="C86" s="1">
        <v>1</v>
      </c>
      <c r="D86" s="2" t="s">
        <v>151</v>
      </c>
      <c r="E86" s="2" t="s">
        <v>37</v>
      </c>
      <c r="F86" s="2" t="s">
        <v>152</v>
      </c>
    </row>
    <row r="87" spans="1:6" ht="31.5" x14ac:dyDescent="0.25">
      <c r="A87" s="1">
        <f t="shared" ref="A87:A94" si="9">1+A86</f>
        <v>83</v>
      </c>
      <c r="B87" s="2" t="s">
        <v>165</v>
      </c>
      <c r="C87" s="1">
        <f t="shared" ref="C87:C92" si="10">1+C86</f>
        <v>2</v>
      </c>
      <c r="D87" s="2" t="s">
        <v>153</v>
      </c>
      <c r="E87" s="2" t="s">
        <v>37</v>
      </c>
      <c r="F87" s="2" t="s">
        <v>154</v>
      </c>
    </row>
    <row r="88" spans="1:6" ht="31.5" x14ac:dyDescent="0.25">
      <c r="A88" s="1"/>
      <c r="B88" s="2" t="s">
        <v>165</v>
      </c>
      <c r="C88" s="1">
        <f t="shared" si="10"/>
        <v>3</v>
      </c>
      <c r="D88" s="2" t="s">
        <v>155</v>
      </c>
      <c r="E88" s="2" t="s">
        <v>37</v>
      </c>
      <c r="F88" s="2" t="s">
        <v>156</v>
      </c>
    </row>
    <row r="89" spans="1:6" ht="31.5" x14ac:dyDescent="0.25">
      <c r="A89" s="1">
        <f>1+A87</f>
        <v>84</v>
      </c>
      <c r="B89" s="2" t="s">
        <v>165</v>
      </c>
      <c r="C89" s="1">
        <f t="shared" si="10"/>
        <v>4</v>
      </c>
      <c r="D89" s="2" t="s">
        <v>157</v>
      </c>
      <c r="E89" s="2" t="s">
        <v>37</v>
      </c>
      <c r="F89" s="2" t="s">
        <v>158</v>
      </c>
    </row>
    <row r="90" spans="1:6" ht="31.5" x14ac:dyDescent="0.25">
      <c r="A90" s="1"/>
      <c r="B90" s="2" t="s">
        <v>165</v>
      </c>
      <c r="C90" s="1">
        <f t="shared" si="10"/>
        <v>5</v>
      </c>
      <c r="D90" s="2" t="s">
        <v>159</v>
      </c>
      <c r="E90" s="2" t="s">
        <v>37</v>
      </c>
      <c r="F90" s="2" t="s">
        <v>160</v>
      </c>
    </row>
    <row r="91" spans="1:6" ht="31.5" x14ac:dyDescent="0.25">
      <c r="A91" s="1">
        <f>1+A89</f>
        <v>85</v>
      </c>
      <c r="B91" s="2" t="s">
        <v>165</v>
      </c>
      <c r="C91" s="1">
        <f t="shared" si="10"/>
        <v>6</v>
      </c>
      <c r="D91" s="2" t="s">
        <v>161</v>
      </c>
      <c r="E91" s="2" t="s">
        <v>37</v>
      </c>
      <c r="F91" s="2" t="s">
        <v>162</v>
      </c>
    </row>
    <row r="92" spans="1:6" ht="31.5" x14ac:dyDescent="0.25">
      <c r="A92" s="1">
        <f t="shared" si="9"/>
        <v>86</v>
      </c>
      <c r="B92" s="2" t="s">
        <v>165</v>
      </c>
      <c r="C92" s="1">
        <f t="shared" si="10"/>
        <v>7</v>
      </c>
      <c r="D92" s="2" t="s">
        <v>163</v>
      </c>
      <c r="E92" s="2" t="s">
        <v>37</v>
      </c>
      <c r="F92" s="2" t="s">
        <v>164</v>
      </c>
    </row>
    <row r="93" spans="1:6" ht="31.5" x14ac:dyDescent="0.25">
      <c r="A93" s="1">
        <f t="shared" ref="A93" si="11">1+A91</f>
        <v>86</v>
      </c>
      <c r="B93" s="2" t="s">
        <v>169</v>
      </c>
      <c r="C93" s="1">
        <v>1</v>
      </c>
      <c r="D93" s="2" t="s">
        <v>166</v>
      </c>
      <c r="E93" s="2" t="s">
        <v>44</v>
      </c>
      <c r="F93" s="2" t="s">
        <v>170</v>
      </c>
    </row>
    <row r="94" spans="1:6" ht="31.5" x14ac:dyDescent="0.25">
      <c r="A94" s="1">
        <f t="shared" si="9"/>
        <v>87</v>
      </c>
      <c r="B94" s="2" t="s">
        <v>169</v>
      </c>
      <c r="C94" s="1">
        <v>2</v>
      </c>
      <c r="D94" s="2" t="s">
        <v>167</v>
      </c>
      <c r="E94" s="2" t="s">
        <v>44</v>
      </c>
      <c r="F94" s="2" t="s">
        <v>171</v>
      </c>
    </row>
    <row r="95" spans="1:6" x14ac:dyDescent="0.25">
      <c r="A95" s="1">
        <f t="shared" ref="A95" si="12">1+A93</f>
        <v>87</v>
      </c>
      <c r="B95" s="2" t="s">
        <v>169</v>
      </c>
      <c r="C95" s="1">
        <v>3</v>
      </c>
      <c r="D95" s="2" t="s">
        <v>168</v>
      </c>
      <c r="E95" s="2" t="s">
        <v>44</v>
      </c>
      <c r="F95" s="2" t="s">
        <v>172</v>
      </c>
    </row>
    <row r="96" spans="1:6" ht="15.75" x14ac:dyDescent="0.25">
      <c r="D96" s="2"/>
      <c r="E96" s="2"/>
    </row>
  </sheetData>
  <autoFilter ref="A3:F3" xr:uid="{00000000-0009-0000-0000-000000000000}"/>
  <mergeCells count="6">
    <mergeCell ref="B1:B2"/>
    <mergeCell ref="C1:C2"/>
    <mergeCell ref="A1:A2"/>
    <mergeCell ref="D1:D2"/>
    <mergeCell ref="E1:E2"/>
    <mergeCell ref="F1:F2"/>
  </mergeCells>
  <pageMargins left="0.31496062992125984" right="0.31496062992125984" top="0.78740157480314965" bottom="0.55118110236220474" header="0" footer="0.31496062992125984"/>
  <pageSetup paperSize="9" scale="62" fitToHeight="27" orientation="landscape" r:id="rId1"/>
  <headerFooter>
    <oddFooter>&amp;RСтр.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2026-05-27T09:48:11Z</dcterms:modified>
</cp:coreProperties>
</file>