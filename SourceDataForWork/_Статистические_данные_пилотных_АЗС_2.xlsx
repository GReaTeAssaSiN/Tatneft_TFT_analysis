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8_{942C9785-2A19-41D9-AA8A-277638E729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4" state="hidden" r:id="rId2"/>
  </sheets>
  <definedNames>
    <definedName name="_xlnm._FilterDatabase" localSheetId="0" hidden="1">Лист1!$A$3:$F$37</definedName>
    <definedName name="_xlnm.Print_Titles" localSheetId="0">Лист1!$1:$3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4" i="1" s="1"/>
  <c r="C25" i="1" s="1"/>
  <c r="C26" i="1" s="1"/>
  <c r="C27" i="1" s="1"/>
  <c r="C28" i="1" s="1"/>
  <c r="C29" i="1" s="1"/>
  <c r="C30" i="1" s="1"/>
  <c r="C31" i="1" s="1"/>
  <c r="C33" i="1" l="1"/>
  <c r="C34" i="1" s="1"/>
  <c r="C35" i="1" s="1"/>
  <c r="C36" i="1" s="1"/>
  <c r="C37" i="1" s="1"/>
  <c r="A20" i="4" l="1"/>
  <c r="A19" i="4"/>
  <c r="A18" i="4"/>
  <c r="A16" i="4"/>
  <c r="A14" i="4"/>
  <c r="A13" i="4"/>
  <c r="A12" i="4"/>
  <c r="A9" i="4"/>
  <c r="A8" i="4"/>
  <c r="A6" i="4"/>
  <c r="A5" i="4"/>
  <c r="A4" i="4"/>
  <c r="A3" i="4"/>
  <c r="C12" i="1" l="1"/>
  <c r="C13" i="1" s="1"/>
  <c r="C14" i="1" s="1"/>
  <c r="C15" i="1" s="1"/>
  <c r="C16" i="1" s="1"/>
  <c r="C17" i="1" s="1"/>
  <c r="C18" i="1" s="1"/>
  <c r="C19" i="1" s="1"/>
  <c r="C20" i="1" s="1"/>
  <c r="C21" i="1" s="1"/>
  <c r="C7" i="1"/>
  <c r="C8" i="1" s="1"/>
  <c r="C9" i="1" s="1"/>
  <c r="C10" i="1" s="1"/>
  <c r="C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3" i="1"/>
  <c r="C3" i="1" s="1"/>
  <c r="D3" i="1" s="1"/>
  <c r="E3" i="1" s="1"/>
  <c r="F3" i="1" s="1"/>
  <c r="A22" i="1" l="1"/>
  <c r="A23" i="1" s="1"/>
  <c r="A24" i="1" s="1"/>
  <c r="A25" i="1" s="1"/>
  <c r="A26" i="1" s="1"/>
  <c r="A27" i="1" s="1"/>
  <c r="A28" i="1" l="1"/>
  <c r="A29" i="1" s="1"/>
  <c r="A30" i="1" s="1"/>
  <c r="A31" i="1" s="1"/>
  <c r="A32" i="1" s="1"/>
  <c r="A33" i="1" s="1"/>
  <c r="A34" i="1" s="1"/>
  <c r="A35" i="1" s="1"/>
  <c r="A36" i="1" s="1"/>
  <c r="A37" i="1" s="1"/>
</calcChain>
</file>

<file path=xl/sharedStrings.xml><?xml version="1.0" encoding="utf-8"?>
<sst xmlns="http://schemas.openxmlformats.org/spreadsheetml/2006/main" count="277" uniqueCount="119">
  <si>
    <t>Переменная</t>
  </si>
  <si>
    <t xml:space="preserve">Тип </t>
  </si>
  <si>
    <t>Описание</t>
  </si>
  <si>
    <t>АЗС 172</t>
  </si>
  <si>
    <t>АЗС 173</t>
  </si>
  <si>
    <t>АЗС 603</t>
  </si>
  <si>
    <t>АЗС 604</t>
  </si>
  <si>
    <t>АЗС 606</t>
  </si>
  <si>
    <t>Наименование групп данных</t>
  </si>
  <si>
    <t>Идентификаторы</t>
  </si>
  <si>
    <t>№ п/п
сквозной</t>
  </si>
  <si>
    <t>№ п/п
в группе</t>
  </si>
  <si>
    <t>station_id</t>
  </si>
  <si>
    <t>int</t>
  </si>
  <si>
    <t>Уникальный идентификатор АЗС (0-24)</t>
  </si>
  <si>
    <t>station_name</t>
  </si>
  <si>
    <t>str</t>
  </si>
  <si>
    <t>Название АЗС 
(" АЗС 001")</t>
  </si>
  <si>
    <t>Характеристики дорог и расположения</t>
  </si>
  <si>
    <t>road_type</t>
  </si>
  <si>
    <t>category</t>
  </si>
  <si>
    <t>road_level</t>
  </si>
  <si>
    <t>direction</t>
  </si>
  <si>
    <t>settlement_size</t>
  </si>
  <si>
    <t>distance_to_city_km</t>
  </si>
  <si>
    <t>float</t>
  </si>
  <si>
    <t xml:space="preserve">Количество колонок по видам топлива </t>
  </si>
  <si>
    <t>num_pumps_AI92</t>
  </si>
  <si>
    <t>Кол-во ТРК АИ-92</t>
  </si>
  <si>
    <t>num_pumps_AI92_bio</t>
  </si>
  <si>
    <t>Кол-во ТРК АИ-92 Taneco-bio</t>
  </si>
  <si>
    <t>num_pumps_AI95</t>
  </si>
  <si>
    <t>Кол-во ТРК АИ-95</t>
  </si>
  <si>
    <t>num_pumps_AI95_bio</t>
  </si>
  <si>
    <t>Кол-во ТРК АИ-95 Taneco-bio</t>
  </si>
  <si>
    <t>num_pumps_AI100_bio</t>
  </si>
  <si>
    <t xml:space="preserve">Кол-во ТРК АИ-100 Taneco-bio </t>
  </si>
  <si>
    <t>num_pumps_DT</t>
  </si>
  <si>
    <t>Кол-во ТРК ДТ</t>
  </si>
  <si>
    <t>num_pumps_DT_bio</t>
  </si>
  <si>
    <t>Кол-во ТРК ДТ Taneco-bio</t>
  </si>
  <si>
    <t>num_pumps_SUG</t>
  </si>
  <si>
    <t>Кол-во ТРК СУГ</t>
  </si>
  <si>
    <t>num_pumps_KPG</t>
  </si>
  <si>
    <t>Кол-во ТРК КПГ</t>
  </si>
  <si>
    <t>num_pumps_SPG</t>
  </si>
  <si>
    <t>Кол-во ТРК СПГ</t>
  </si>
  <si>
    <t>total_pumps</t>
  </si>
  <si>
    <t>Общее количество ТРК</t>
  </si>
  <si>
    <t>Дополнительные услуги</t>
  </si>
  <si>
    <t>shop_area_m2</t>
  </si>
  <si>
    <t>has_car_wash</t>
  </si>
  <si>
    <t>binary</t>
  </si>
  <si>
    <t>Наличие автомойки (0/1)</t>
  </si>
  <si>
    <t>has_tire_service</t>
  </si>
  <si>
    <t>Наличие шиномонтажа (0/1)</t>
  </si>
  <si>
    <t>has_cafe</t>
  </si>
  <si>
    <t>Наличие кафе (0/1)</t>
  </si>
  <si>
    <t>has_hotel</t>
  </si>
  <si>
    <t>Наличие гостиницы (0/1)</t>
  </si>
  <si>
    <t>has_shop</t>
  </si>
  <si>
    <t>Наличие магазина (0/1)</t>
  </si>
  <si>
    <t>Конкурентная среда</t>
  </si>
  <si>
    <t>competitors_wink</t>
  </si>
  <si>
    <t>Кол-во объектов конкурентов из числа ВИНК в микрорынке АЗС Татнефть</t>
  </si>
  <si>
    <t>competitors_private</t>
  </si>
  <si>
    <t>Кол-во АЗС конкурентов частников в микрорынке АЗС Татнефть</t>
  </si>
  <si>
    <t>competitor_price_ratio_AI92</t>
  </si>
  <si>
    <t>competitor_price_ratio_AI92_brend</t>
  </si>
  <si>
    <t>competitor_price_ratio_AI95</t>
  </si>
  <si>
    <t>competitor_price_ratio_AI95_brend</t>
  </si>
  <si>
    <t>competitor_price_ratio_AI100</t>
  </si>
  <si>
    <t>competitor_price_ratio_DT</t>
  </si>
  <si>
    <t>competitor_price_ratio_DT_brend</t>
  </si>
  <si>
    <t>Наличие молельной комнаты</t>
  </si>
  <si>
    <t>Наличие прачечной</t>
  </si>
  <si>
    <t>Наличие электрозарядной станции</t>
  </si>
  <si>
    <t>Наличие подкачки шин</t>
  </si>
  <si>
    <t>Конкурент1</t>
  </si>
  <si>
    <t>Конкурент2</t>
  </si>
  <si>
    <t>Конкурент3</t>
  </si>
  <si>
    <t>Конкурент4</t>
  </si>
  <si>
    <t>ЛУКОЙЛ, 69442</t>
  </si>
  <si>
    <t>Газпромнефть, 65</t>
  </si>
  <si>
    <t>Газпромнефть, 71</t>
  </si>
  <si>
    <t>Роснефть, TN-001</t>
  </si>
  <si>
    <t>Газпромнефть, 329</t>
  </si>
  <si>
    <t>Роснефть, 8</t>
  </si>
  <si>
    <t>Сургутнефтегаз, 1</t>
  </si>
  <si>
    <t>Газпромнефть, 89</t>
  </si>
  <si>
    <t>Газпромнефть, 64</t>
  </si>
  <si>
    <t>ЛУКОЙЛ, 69464</t>
  </si>
  <si>
    <t>Роснефть, 12</t>
  </si>
  <si>
    <t>Газпромнефть, 70</t>
  </si>
  <si>
    <t>Роснефть, 15</t>
  </si>
  <si>
    <t>Роснефть</t>
  </si>
  <si>
    <t>Лукойл</t>
  </si>
  <si>
    <t>Газпромнефть</t>
  </si>
  <si>
    <t>Татнефть</t>
  </si>
  <si>
    <t xml:space="preserve">СургутНефтегаз </t>
  </si>
  <si>
    <t>NT001</t>
  </si>
  <si>
    <t>Отклонение от цены конкрурента</t>
  </si>
  <si>
    <t>№ АЗС</t>
  </si>
  <si>
    <t>БРЕНД</t>
  </si>
  <si>
    <t xml:space="preserve"> </t>
  </si>
  <si>
    <t>Тип дороги (улица в населенном пункте / федеральная трасса  / региональная трасса / локальная трасса)</t>
  </si>
  <si>
    <t>Направление движения (в_город/из_города/транзит-трассовая АЗС/кольцевая въезд с двух и более сторон/городская)</t>
  </si>
  <si>
    <t xml:space="preserve">Размер населенного пункта (5 категорий)
1. Город свыше 1 млн – города с населением свыше 1 млн человек (например, Москва, Казань — хотя Казань ~1.2 млн, но для Татарстана условно)
2. Город 0,5 – 1 млн (500k-1млн) – от 500 тысяч до 1 миллиона
3. Город 0,25 - 0,5 млн (250k -500k) – от 250 до 500 тысяч
4. Город 0,1 - 0,25 млн (100k -250k) – от 100 до 250 тысяч
5. Город менее 0,1 млн (&lt;100k) – население менее 100 тысяч человек
6. Вне населенного пункта
</t>
  </si>
  <si>
    <t xml:space="preserve">Удаленность от города: 
0. В черте города
1. менее 20 км
2. от 20 км - 50 км
3. от 50 км - 80 км
4. от 80 км - 110 км
5. от 110 км - 200 км
6. свыше 200 км
</t>
  </si>
  <si>
    <t>has_shop_молельная_комната</t>
  </si>
  <si>
    <t>has_shop_прачечная</t>
  </si>
  <si>
    <t>has_shop_электрозарядная_станция</t>
  </si>
  <si>
    <t>has_shop_подкачка_шин</t>
  </si>
  <si>
    <t>Уровень дороги (1-федеральная, 2-региональная, 3-локальная, 4-магистральная улица, 5- районная улица)</t>
  </si>
  <si>
    <t>competitors_конкурент1</t>
  </si>
  <si>
    <t>competitors_конкурент2</t>
  </si>
  <si>
    <t>competitors_конкурент3</t>
  </si>
  <si>
    <t>competitors_конкурент4</t>
  </si>
  <si>
    <t>Площадь торгового зала/ магазина (0-300 м²)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</si>
</sst>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9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0" xfId="0" applyFont="1"/>
    <xf numFmtId="0" fontId="1" fillId="0" borderId="0" xfId="3"/>
    <xf numFmtId="0" fontId="4" fillId="0" borderId="1" xfId="3" applyFont="1" applyBorder="1" applyAlignment="1">
      <alignment horizontal="left" vertical="top" wrapText="1"/>
    </xf>
    <xf numFmtId="0" fontId="8" fillId="0" borderId="1" xfId="3" applyFont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3" borderId="1" xfId="5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4" fillId="0" borderId="1" xfId="3" applyFont="1" applyBorder="1" applyAlignment="1">
      <alignment horizontal="left" vertical="top"/>
    </xf>
    <xf numFmtId="0" fontId="2" fillId="0" borderId="1" xfId="3" applyFont="1" applyBorder="1" applyAlignment="1">
      <alignment horizontal="left" vertical="top" wrapText="1"/>
    </xf>
    <xf numFmtId="0" fontId="1" fillId="0" borderId="1" xfId="3" applyBorder="1"/>
    <xf numFmtId="0" fontId="12" fillId="5" borderId="1" xfId="3" applyFont="1" applyFill="1" applyBorder="1" applyAlignment="1">
      <alignment horizontal="center" vertical="center" wrapText="1"/>
    </xf>
    <xf numFmtId="43" fontId="10" fillId="6" borderId="1" xfId="4" applyFont="1" applyFill="1" applyBorder="1" applyAlignment="1" applyProtection="1">
      <alignment horizontal="centerContinuous" vertical="center"/>
    </xf>
    <xf numFmtId="0" fontId="11" fillId="5" borderId="1" xfId="5" applyFont="1" applyFill="1" applyBorder="1" applyAlignment="1">
      <alignment horizontal="center" vertical="center"/>
    </xf>
    <xf numFmtId="0" fontId="11" fillId="5" borderId="1" xfId="5" applyFont="1" applyFill="1" applyBorder="1" applyAlignment="1" applyProtection="1">
      <alignment horizontal="center" vertical="center"/>
      <protection locked="0"/>
    </xf>
    <xf numFmtId="43" fontId="7" fillId="0" borderId="1" xfId="1" applyFont="1" applyFill="1" applyBorder="1" applyAlignment="1" applyProtection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6">
    <cellStyle name="Обычный" xfId="0" builtinId="0"/>
    <cellStyle name="Обычный 14" xfId="2" xr:uid="{00000000-0005-0000-0000-000001000000}"/>
    <cellStyle name="Обычный 2" xfId="3" xr:uid="{00000000-0005-0000-0000-000002000000}"/>
    <cellStyle name="Обычный_Цены Конкурентов Февраль 2011" xfId="5" xr:uid="{00000000-0005-0000-0000-000003000000}"/>
    <cellStyle name="Финансовый" xfId="1" builtinId="3"/>
    <cellStyle name="Финансовый 2" xfId="4" xr:uid="{00000000-0005-0000-0000-000005000000}"/>
  </cellStyles>
  <dxfs count="10">
    <dxf>
      <font>
        <color theme="0"/>
      </font>
      <numFmt numFmtId="2" formatCode="0.00"/>
    </dxf>
    <dxf>
      <font>
        <color theme="0"/>
      </font>
      <numFmt numFmtId="2" formatCode="0.00"/>
    </dxf>
    <dxf>
      <font>
        <color theme="0"/>
      </font>
      <numFmt numFmtId="2" formatCode="0.00"/>
    </dxf>
    <dxf>
      <font>
        <color rgb="FF9C0006"/>
      </font>
    </dxf>
    <dxf>
      <font>
        <color rgb="FF9C0006"/>
      </font>
    </dxf>
    <dxf>
      <font>
        <color theme="0"/>
      </font>
      <numFmt numFmtId="2" formatCode="0.00"/>
    </dxf>
    <dxf>
      <font>
        <color rgb="FF9C0006"/>
      </font>
    </dxf>
    <dxf>
      <font>
        <color rgb="FF9C0006"/>
      </font>
    </dxf>
    <dxf>
      <font>
        <color theme="0"/>
      </font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zoomScale="70" zoomScaleNormal="70" workbookViewId="0">
      <pane ySplit="3" topLeftCell="A4" activePane="bottomLeft" state="frozen"/>
      <selection pane="bottomLeft" activeCell="L9" sqref="L9"/>
    </sheetView>
  </sheetViews>
  <sheetFormatPr defaultRowHeight="15" x14ac:dyDescent="0.25"/>
  <cols>
    <col min="1" max="1" width="6.7109375" customWidth="1"/>
    <col min="2" max="2" width="22.140625" customWidth="1"/>
    <col min="3" max="3" width="6.42578125" customWidth="1"/>
    <col min="4" max="4" width="34" customWidth="1"/>
    <col min="5" max="5" width="11.42578125" customWidth="1"/>
    <col min="6" max="6" width="51.28515625" customWidth="1"/>
  </cols>
  <sheetData>
    <row r="1" spans="1:6" x14ac:dyDescent="0.25">
      <c r="A1" s="20" t="s">
        <v>10</v>
      </c>
      <c r="B1" s="20" t="s">
        <v>8</v>
      </c>
      <c r="C1" s="20" t="s">
        <v>11</v>
      </c>
      <c r="D1" s="20" t="s">
        <v>0</v>
      </c>
      <c r="E1" s="20" t="s">
        <v>1</v>
      </c>
      <c r="F1" s="20" t="s">
        <v>2</v>
      </c>
    </row>
    <row r="2" spans="1:6" x14ac:dyDescent="0.25">
      <c r="A2" s="21"/>
      <c r="B2" s="21"/>
      <c r="C2" s="21"/>
      <c r="D2" s="21"/>
      <c r="E2" s="21"/>
      <c r="F2" s="21"/>
    </row>
    <row r="3" spans="1:6" ht="15.75" x14ac:dyDescent="0.25">
      <c r="A3" s="1">
        <v>1</v>
      </c>
      <c r="B3" s="1">
        <f>1+A3</f>
        <v>2</v>
      </c>
      <c r="C3" s="1">
        <f t="shared" ref="C3:F3" si="0">1+B3</f>
        <v>3</v>
      </c>
      <c r="D3" s="1">
        <f t="shared" si="0"/>
        <v>4</v>
      </c>
      <c r="E3" s="1">
        <f t="shared" si="0"/>
        <v>5</v>
      </c>
      <c r="F3" s="1">
        <f t="shared" si="0"/>
        <v>6</v>
      </c>
    </row>
    <row r="4" spans="1:6" ht="15.75" x14ac:dyDescent="0.25">
      <c r="A4" s="1">
        <v>1</v>
      </c>
      <c r="B4" s="2" t="s">
        <v>9</v>
      </c>
      <c r="C4" s="1">
        <v>1</v>
      </c>
      <c r="D4" s="2" t="s">
        <v>12</v>
      </c>
      <c r="E4" s="2" t="s">
        <v>13</v>
      </c>
      <c r="F4" s="2" t="s">
        <v>14</v>
      </c>
    </row>
    <row r="5" spans="1:6" ht="31.5" x14ac:dyDescent="0.25">
      <c r="A5" s="1">
        <f>1+A4</f>
        <v>2</v>
      </c>
      <c r="B5" s="2" t="s">
        <v>9</v>
      </c>
      <c r="C5" s="1">
        <f>1+C4</f>
        <v>2</v>
      </c>
      <c r="D5" s="2" t="s">
        <v>15</v>
      </c>
      <c r="E5" s="2" t="s">
        <v>16</v>
      </c>
      <c r="F5" s="2" t="s">
        <v>17</v>
      </c>
    </row>
    <row r="6" spans="1:6" ht="47.25" x14ac:dyDescent="0.25">
      <c r="A6" s="1">
        <f t="shared" ref="A6:A37" si="1">1+A5</f>
        <v>3</v>
      </c>
      <c r="B6" s="2" t="s">
        <v>18</v>
      </c>
      <c r="C6" s="1">
        <v>1</v>
      </c>
      <c r="D6" s="2" t="s">
        <v>19</v>
      </c>
      <c r="E6" s="2" t="s">
        <v>20</v>
      </c>
      <c r="F6" s="19" t="s">
        <v>105</v>
      </c>
    </row>
    <row r="7" spans="1:6" ht="47.25" x14ac:dyDescent="0.25">
      <c r="A7" s="1">
        <f t="shared" si="1"/>
        <v>4</v>
      </c>
      <c r="B7" s="2" t="s">
        <v>18</v>
      </c>
      <c r="C7" s="1">
        <f>1+C6</f>
        <v>2</v>
      </c>
      <c r="D7" s="2" t="s">
        <v>21</v>
      </c>
      <c r="E7" s="2" t="s">
        <v>13</v>
      </c>
      <c r="F7" s="19" t="s">
        <v>113</v>
      </c>
    </row>
    <row r="8" spans="1:6" ht="63" x14ac:dyDescent="0.25">
      <c r="A8" s="1">
        <f t="shared" si="1"/>
        <v>5</v>
      </c>
      <c r="B8" s="2" t="s">
        <v>18</v>
      </c>
      <c r="C8" s="1">
        <f t="shared" ref="C8:C10" si="2">1+C7</f>
        <v>3</v>
      </c>
      <c r="D8" s="2" t="s">
        <v>22</v>
      </c>
      <c r="E8" s="2" t="s">
        <v>20</v>
      </c>
      <c r="F8" s="19" t="s">
        <v>106</v>
      </c>
    </row>
    <row r="9" spans="1:6" ht="210.6" customHeight="1" x14ac:dyDescent="0.25">
      <c r="A9" s="1">
        <f t="shared" si="1"/>
        <v>6</v>
      </c>
      <c r="B9" s="2" t="s">
        <v>18</v>
      </c>
      <c r="C9" s="1">
        <f t="shared" si="2"/>
        <v>4</v>
      </c>
      <c r="D9" s="2" t="s">
        <v>23</v>
      </c>
      <c r="E9" s="2" t="s">
        <v>20</v>
      </c>
      <c r="F9" s="19" t="s">
        <v>107</v>
      </c>
    </row>
    <row r="10" spans="1:6" ht="141.75" x14ac:dyDescent="0.25">
      <c r="A10" s="1">
        <f t="shared" si="1"/>
        <v>7</v>
      </c>
      <c r="B10" s="2" t="s">
        <v>18</v>
      </c>
      <c r="C10" s="1">
        <f t="shared" si="2"/>
        <v>5</v>
      </c>
      <c r="D10" s="2" t="s">
        <v>24</v>
      </c>
      <c r="E10" s="2" t="s">
        <v>25</v>
      </c>
      <c r="F10" s="19" t="s">
        <v>108</v>
      </c>
    </row>
    <row r="11" spans="1:6" ht="31.5" x14ac:dyDescent="0.25">
      <c r="A11" s="1">
        <f t="shared" si="1"/>
        <v>8</v>
      </c>
      <c r="B11" s="2" t="s">
        <v>26</v>
      </c>
      <c r="C11" s="1">
        <v>1</v>
      </c>
      <c r="D11" s="2" t="s">
        <v>27</v>
      </c>
      <c r="E11" s="2" t="s">
        <v>13</v>
      </c>
      <c r="F11" s="19" t="s">
        <v>28</v>
      </c>
    </row>
    <row r="12" spans="1:6" ht="31.5" x14ac:dyDescent="0.25">
      <c r="A12" s="1">
        <f t="shared" si="1"/>
        <v>9</v>
      </c>
      <c r="B12" s="2" t="s">
        <v>26</v>
      </c>
      <c r="C12" s="1">
        <f>1+C11</f>
        <v>2</v>
      </c>
      <c r="D12" s="2" t="s">
        <v>29</v>
      </c>
      <c r="E12" s="2" t="s">
        <v>13</v>
      </c>
      <c r="F12" s="19" t="s">
        <v>30</v>
      </c>
    </row>
    <row r="13" spans="1:6" ht="31.5" x14ac:dyDescent="0.25">
      <c r="A13" s="1">
        <f t="shared" si="1"/>
        <v>10</v>
      </c>
      <c r="B13" s="2" t="s">
        <v>26</v>
      </c>
      <c r="C13" s="1">
        <f t="shared" ref="C13:C21" si="3">1+C12</f>
        <v>3</v>
      </c>
      <c r="D13" s="2" t="s">
        <v>31</v>
      </c>
      <c r="E13" s="2" t="s">
        <v>13</v>
      </c>
      <c r="F13" s="19" t="s">
        <v>32</v>
      </c>
    </row>
    <row r="14" spans="1:6" ht="31.5" x14ac:dyDescent="0.25">
      <c r="A14" s="1">
        <f t="shared" si="1"/>
        <v>11</v>
      </c>
      <c r="B14" s="2" t="s">
        <v>26</v>
      </c>
      <c r="C14" s="1">
        <f t="shared" si="3"/>
        <v>4</v>
      </c>
      <c r="D14" s="2" t="s">
        <v>33</v>
      </c>
      <c r="E14" s="2" t="s">
        <v>13</v>
      </c>
      <c r="F14" s="19" t="s">
        <v>34</v>
      </c>
    </row>
    <row r="15" spans="1:6" ht="31.5" x14ac:dyDescent="0.25">
      <c r="A15" s="1">
        <f t="shared" si="1"/>
        <v>12</v>
      </c>
      <c r="B15" s="2" t="s">
        <v>26</v>
      </c>
      <c r="C15" s="1">
        <f t="shared" si="3"/>
        <v>5</v>
      </c>
      <c r="D15" s="2" t="s">
        <v>35</v>
      </c>
      <c r="E15" s="2" t="s">
        <v>13</v>
      </c>
      <c r="F15" s="19" t="s">
        <v>36</v>
      </c>
    </row>
    <row r="16" spans="1:6" ht="31.5" x14ac:dyDescent="0.25">
      <c r="A16" s="1">
        <f t="shared" si="1"/>
        <v>13</v>
      </c>
      <c r="B16" s="2" t="s">
        <v>26</v>
      </c>
      <c r="C16" s="1">
        <f t="shared" si="3"/>
        <v>6</v>
      </c>
      <c r="D16" s="2" t="s">
        <v>37</v>
      </c>
      <c r="E16" s="2" t="s">
        <v>13</v>
      </c>
      <c r="F16" s="19" t="s">
        <v>38</v>
      </c>
    </row>
    <row r="17" spans="1:6" ht="31.5" x14ac:dyDescent="0.25">
      <c r="A17" s="1">
        <f t="shared" si="1"/>
        <v>14</v>
      </c>
      <c r="B17" s="2" t="s">
        <v>26</v>
      </c>
      <c r="C17" s="1">
        <f t="shared" si="3"/>
        <v>7</v>
      </c>
      <c r="D17" s="2" t="s">
        <v>39</v>
      </c>
      <c r="E17" s="2" t="s">
        <v>13</v>
      </c>
      <c r="F17" s="19" t="s">
        <v>40</v>
      </c>
    </row>
    <row r="18" spans="1:6" ht="31.5" x14ac:dyDescent="0.25">
      <c r="A18" s="1">
        <f t="shared" si="1"/>
        <v>15</v>
      </c>
      <c r="B18" s="2" t="s">
        <v>26</v>
      </c>
      <c r="C18" s="1">
        <f t="shared" si="3"/>
        <v>8</v>
      </c>
      <c r="D18" s="2" t="s">
        <v>41</v>
      </c>
      <c r="E18" s="2" t="s">
        <v>13</v>
      </c>
      <c r="F18" s="19" t="s">
        <v>42</v>
      </c>
    </row>
    <row r="19" spans="1:6" ht="31.5" x14ac:dyDescent="0.25">
      <c r="A19" s="1">
        <f t="shared" si="1"/>
        <v>16</v>
      </c>
      <c r="B19" s="2" t="s">
        <v>26</v>
      </c>
      <c r="C19" s="1">
        <f t="shared" si="3"/>
        <v>9</v>
      </c>
      <c r="D19" s="2" t="s">
        <v>43</v>
      </c>
      <c r="E19" s="2" t="s">
        <v>13</v>
      </c>
      <c r="F19" s="19" t="s">
        <v>44</v>
      </c>
    </row>
    <row r="20" spans="1:6" ht="31.5" x14ac:dyDescent="0.25">
      <c r="A20" s="1">
        <f t="shared" si="1"/>
        <v>17</v>
      </c>
      <c r="B20" s="2" t="s">
        <v>26</v>
      </c>
      <c r="C20" s="1">
        <f t="shared" si="3"/>
        <v>10</v>
      </c>
      <c r="D20" s="2" t="s">
        <v>45</v>
      </c>
      <c r="E20" s="2" t="s">
        <v>13</v>
      </c>
      <c r="F20" s="19" t="s">
        <v>46</v>
      </c>
    </row>
    <row r="21" spans="1:6" ht="31.5" x14ac:dyDescent="0.25">
      <c r="A21" s="1">
        <f t="shared" si="1"/>
        <v>18</v>
      </c>
      <c r="B21" s="2" t="s">
        <v>26</v>
      </c>
      <c r="C21" s="1">
        <f t="shared" si="3"/>
        <v>11</v>
      </c>
      <c r="D21" s="2" t="s">
        <v>47</v>
      </c>
      <c r="E21" s="2" t="s">
        <v>13</v>
      </c>
      <c r="F21" s="19" t="s">
        <v>48</v>
      </c>
    </row>
    <row r="22" spans="1:6" ht="31.5" x14ac:dyDescent="0.25">
      <c r="A22" s="1">
        <f t="shared" si="1"/>
        <v>19</v>
      </c>
      <c r="B22" s="2" t="s">
        <v>49</v>
      </c>
      <c r="C22" s="1">
        <v>1</v>
      </c>
      <c r="D22" s="2" t="s">
        <v>60</v>
      </c>
      <c r="E22" s="2" t="s">
        <v>52</v>
      </c>
      <c r="F22" s="19" t="s">
        <v>61</v>
      </c>
    </row>
    <row r="23" spans="1:6" ht="31.5" x14ac:dyDescent="0.25">
      <c r="A23" s="1">
        <f t="shared" si="1"/>
        <v>20</v>
      </c>
      <c r="B23" s="2" t="s">
        <v>49</v>
      </c>
      <c r="C23" s="1">
        <f>1+C22</f>
        <v>2</v>
      </c>
      <c r="D23" s="2" t="s">
        <v>50</v>
      </c>
      <c r="E23" s="2" t="s">
        <v>13</v>
      </c>
      <c r="F23" s="19" t="s">
        <v>118</v>
      </c>
    </row>
    <row r="24" spans="1:6" ht="31.5" x14ac:dyDescent="0.25">
      <c r="A24" s="1">
        <f t="shared" si="1"/>
        <v>21</v>
      </c>
      <c r="B24" s="2" t="s">
        <v>49</v>
      </c>
      <c r="C24" s="1">
        <f t="shared" ref="C24:C31" si="4">1+C23</f>
        <v>3</v>
      </c>
      <c r="D24" s="2" t="s">
        <v>51</v>
      </c>
      <c r="E24" s="2" t="s">
        <v>52</v>
      </c>
      <c r="F24" s="19" t="s">
        <v>53</v>
      </c>
    </row>
    <row r="25" spans="1:6" ht="31.5" x14ac:dyDescent="0.25">
      <c r="A25" s="1">
        <f t="shared" si="1"/>
        <v>22</v>
      </c>
      <c r="B25" s="2" t="s">
        <v>49</v>
      </c>
      <c r="C25" s="1">
        <f t="shared" si="4"/>
        <v>4</v>
      </c>
      <c r="D25" s="2" t="s">
        <v>54</v>
      </c>
      <c r="E25" s="2" t="s">
        <v>52</v>
      </c>
      <c r="F25" s="19" t="s">
        <v>55</v>
      </c>
    </row>
    <row r="26" spans="1:6" ht="31.5" x14ac:dyDescent="0.25">
      <c r="A26" s="1">
        <f t="shared" si="1"/>
        <v>23</v>
      </c>
      <c r="B26" s="2" t="s">
        <v>49</v>
      </c>
      <c r="C26" s="1">
        <f t="shared" si="4"/>
        <v>5</v>
      </c>
      <c r="D26" s="2" t="s">
        <v>56</v>
      </c>
      <c r="E26" s="2" t="s">
        <v>52</v>
      </c>
      <c r="F26" s="19" t="s">
        <v>57</v>
      </c>
    </row>
    <row r="27" spans="1:6" ht="31.5" x14ac:dyDescent="0.25">
      <c r="A27" s="1">
        <f t="shared" si="1"/>
        <v>24</v>
      </c>
      <c r="B27" s="2" t="s">
        <v>49</v>
      </c>
      <c r="C27" s="1">
        <f t="shared" si="4"/>
        <v>6</v>
      </c>
      <c r="D27" s="2" t="s">
        <v>58</v>
      </c>
      <c r="E27" s="2" t="s">
        <v>52</v>
      </c>
      <c r="F27" s="19" t="s">
        <v>59</v>
      </c>
    </row>
    <row r="28" spans="1:6" ht="31.5" x14ac:dyDescent="0.25">
      <c r="A28" s="1">
        <f t="shared" si="1"/>
        <v>25</v>
      </c>
      <c r="B28" s="2" t="s">
        <v>49</v>
      </c>
      <c r="C28" s="1">
        <f t="shared" si="4"/>
        <v>7</v>
      </c>
      <c r="D28" s="2" t="s">
        <v>109</v>
      </c>
      <c r="E28" s="2" t="s">
        <v>52</v>
      </c>
      <c r="F28" s="19" t="s">
        <v>74</v>
      </c>
    </row>
    <row r="29" spans="1:6" ht="31.5" x14ac:dyDescent="0.25">
      <c r="A29" s="1">
        <f t="shared" si="1"/>
        <v>26</v>
      </c>
      <c r="B29" s="2" t="s">
        <v>49</v>
      </c>
      <c r="C29" s="1">
        <f t="shared" si="4"/>
        <v>8</v>
      </c>
      <c r="D29" s="2" t="s">
        <v>110</v>
      </c>
      <c r="E29" s="2" t="s">
        <v>52</v>
      </c>
      <c r="F29" s="19" t="s">
        <v>75</v>
      </c>
    </row>
    <row r="30" spans="1:6" ht="31.5" x14ac:dyDescent="0.25">
      <c r="A30" s="1">
        <f t="shared" si="1"/>
        <v>27</v>
      </c>
      <c r="B30" s="2" t="s">
        <v>49</v>
      </c>
      <c r="C30" s="1">
        <f t="shared" si="4"/>
        <v>9</v>
      </c>
      <c r="D30" s="2" t="s">
        <v>111</v>
      </c>
      <c r="E30" s="2" t="s">
        <v>52</v>
      </c>
      <c r="F30" s="2" t="s">
        <v>76</v>
      </c>
    </row>
    <row r="31" spans="1:6" ht="31.5" x14ac:dyDescent="0.25">
      <c r="A31" s="1">
        <f t="shared" si="1"/>
        <v>28</v>
      </c>
      <c r="B31" s="2" t="s">
        <v>49</v>
      </c>
      <c r="C31" s="1">
        <f t="shared" si="4"/>
        <v>10</v>
      </c>
      <c r="D31" s="2" t="s">
        <v>112</v>
      </c>
      <c r="E31" s="2" t="s">
        <v>52</v>
      </c>
      <c r="F31" s="2" t="s">
        <v>77</v>
      </c>
    </row>
    <row r="32" spans="1:6" ht="31.5" x14ac:dyDescent="0.25">
      <c r="A32" s="1">
        <f t="shared" si="1"/>
        <v>29</v>
      </c>
      <c r="B32" s="2" t="s">
        <v>62</v>
      </c>
      <c r="C32" s="1">
        <v>1</v>
      </c>
      <c r="D32" s="2" t="s">
        <v>63</v>
      </c>
      <c r="E32" s="2" t="s">
        <v>13</v>
      </c>
      <c r="F32" s="19" t="s">
        <v>64</v>
      </c>
    </row>
    <row r="33" spans="1:6" s="3" customFormat="1" ht="15.75" x14ac:dyDescent="0.25">
      <c r="A33" s="1">
        <f t="shared" si="1"/>
        <v>30</v>
      </c>
      <c r="B33" s="2" t="s">
        <v>62</v>
      </c>
      <c r="C33" s="1">
        <f t="shared" ref="C33:C37" si="5">1+C32</f>
        <v>2</v>
      </c>
      <c r="D33" s="2" t="s">
        <v>114</v>
      </c>
      <c r="E33" s="2" t="s">
        <v>13</v>
      </c>
      <c r="F33" s="19" t="s">
        <v>78</v>
      </c>
    </row>
    <row r="34" spans="1:6" s="3" customFormat="1" ht="15.75" x14ac:dyDescent="0.25">
      <c r="A34" s="1">
        <f t="shared" si="1"/>
        <v>31</v>
      </c>
      <c r="B34" s="2" t="s">
        <v>62</v>
      </c>
      <c r="C34" s="1">
        <f t="shared" si="5"/>
        <v>3</v>
      </c>
      <c r="D34" s="2" t="s">
        <v>115</v>
      </c>
      <c r="E34" s="2" t="s">
        <v>13</v>
      </c>
      <c r="F34" s="19" t="s">
        <v>79</v>
      </c>
    </row>
    <row r="35" spans="1:6" s="3" customFormat="1" ht="15.75" x14ac:dyDescent="0.25">
      <c r="A35" s="1">
        <f t="shared" si="1"/>
        <v>32</v>
      </c>
      <c r="B35" s="2" t="s">
        <v>62</v>
      </c>
      <c r="C35" s="1">
        <f t="shared" si="5"/>
        <v>4</v>
      </c>
      <c r="D35" s="2" t="s">
        <v>116</v>
      </c>
      <c r="E35" s="2" t="s">
        <v>13</v>
      </c>
      <c r="F35" s="19" t="s">
        <v>80</v>
      </c>
    </row>
    <row r="36" spans="1:6" s="3" customFormat="1" ht="15.75" x14ac:dyDescent="0.25">
      <c r="A36" s="1">
        <f t="shared" si="1"/>
        <v>33</v>
      </c>
      <c r="B36" s="2" t="s">
        <v>62</v>
      </c>
      <c r="C36" s="1">
        <f t="shared" si="5"/>
        <v>5</v>
      </c>
      <c r="D36" s="2" t="s">
        <v>117</v>
      </c>
      <c r="E36" s="2" t="s">
        <v>13</v>
      </c>
      <c r="F36" s="19" t="s">
        <v>81</v>
      </c>
    </row>
    <row r="37" spans="1:6" x14ac:dyDescent="0.25">
      <c r="A37" s="1">
        <f t="shared" si="1"/>
        <v>34</v>
      </c>
      <c r="B37" s="2" t="s">
        <v>62</v>
      </c>
      <c r="C37" s="1">
        <f t="shared" si="5"/>
        <v>6</v>
      </c>
      <c r="D37" s="2" t="s">
        <v>65</v>
      </c>
      <c r="E37" s="2" t="s">
        <v>13</v>
      </c>
      <c r="F37" s="19" t="s">
        <v>66</v>
      </c>
    </row>
  </sheetData>
  <autoFilter ref="A3:F37" xr:uid="{00000000-0009-0000-0000-000000000000}"/>
  <mergeCells count="6">
    <mergeCell ref="B1:B2"/>
    <mergeCell ref="C1:C2"/>
    <mergeCell ref="A1:A2"/>
    <mergeCell ref="D1:D2"/>
    <mergeCell ref="E1:E2"/>
    <mergeCell ref="F1:F2"/>
  </mergeCells>
  <pageMargins left="0.31496062992125984" right="0.31496062992125984" top="0.78740157480314965" bottom="0.55118110236220474" header="0" footer="0.31496062992125984"/>
  <pageSetup paperSize="9" scale="62" fitToHeight="27" orientation="landscape" horizontalDpi="0" verticalDpi="0" r:id="rId1"/>
  <headerFooter>
    <oddFooter>&amp;RСтр.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zoomScale="85" zoomScaleNormal="85" workbookViewId="0">
      <selection activeCell="E6" sqref="E6"/>
    </sheetView>
  </sheetViews>
  <sheetFormatPr defaultColWidth="21" defaultRowHeight="15" x14ac:dyDescent="0.25"/>
  <cols>
    <col min="1" max="1" width="21" style="4"/>
    <col min="2" max="2" width="15.5703125" style="4" bestFit="1" customWidth="1"/>
    <col min="3" max="3" width="8.5703125" style="4" bestFit="1" customWidth="1"/>
    <col min="4" max="4" width="19.42578125" style="4" bestFit="1" customWidth="1"/>
    <col min="5" max="11" width="20.42578125" style="4" bestFit="1" customWidth="1"/>
    <col min="12" max="16384" width="21" style="4"/>
  </cols>
  <sheetData>
    <row r="1" spans="1:11" ht="15.75" x14ac:dyDescent="0.25">
      <c r="A1" s="13"/>
      <c r="B1" s="14" t="s">
        <v>103</v>
      </c>
      <c r="C1" s="14" t="s">
        <v>102</v>
      </c>
      <c r="D1" s="13"/>
      <c r="E1" s="15" t="s">
        <v>101</v>
      </c>
      <c r="F1" s="15"/>
      <c r="G1" s="15"/>
      <c r="H1" s="15"/>
      <c r="I1" s="15"/>
      <c r="J1" s="15"/>
      <c r="K1" s="15"/>
    </row>
    <row r="2" spans="1:11" ht="31.5" x14ac:dyDescent="0.25">
      <c r="A2" s="13"/>
      <c r="B2" s="16" t="s">
        <v>98</v>
      </c>
      <c r="C2" s="17" t="s">
        <v>3</v>
      </c>
      <c r="D2" s="13"/>
      <c r="E2" s="12" t="s">
        <v>71</v>
      </c>
      <c r="F2" s="12" t="s">
        <v>69</v>
      </c>
      <c r="G2" s="12" t="s">
        <v>70</v>
      </c>
      <c r="H2" s="12" t="s">
        <v>67</v>
      </c>
      <c r="I2" s="12" t="s">
        <v>68</v>
      </c>
      <c r="J2" s="12" t="s">
        <v>72</v>
      </c>
      <c r="K2" s="12" t="s">
        <v>73</v>
      </c>
    </row>
    <row r="3" spans="1:11" ht="15.75" x14ac:dyDescent="0.25">
      <c r="A3" s="13" t="str">
        <f>CONCATENATE($C$2,D3)</f>
        <v>АЗС 172ЛУКОЙЛ, 69442</v>
      </c>
      <c r="B3" s="8" t="s">
        <v>96</v>
      </c>
      <c r="C3" s="6">
        <v>69442</v>
      </c>
      <c r="D3" s="11" t="s">
        <v>82</v>
      </c>
      <c r="E3" s="18" t="s">
        <v>104</v>
      </c>
      <c r="F3" s="18">
        <v>-2.75</v>
      </c>
      <c r="G3" s="18" t="s">
        <v>104</v>
      </c>
      <c r="H3" s="18" t="s">
        <v>104</v>
      </c>
      <c r="I3" s="18" t="s">
        <v>104</v>
      </c>
      <c r="J3" s="18"/>
      <c r="K3" s="18">
        <v>1.7399999999999949</v>
      </c>
    </row>
    <row r="4" spans="1:11" ht="15.75" x14ac:dyDescent="0.25">
      <c r="A4" s="13" t="str">
        <f>CONCATENATE($C$2,D4)</f>
        <v>АЗС 172Газпромнефть, 65</v>
      </c>
      <c r="B4" s="9" t="s">
        <v>97</v>
      </c>
      <c r="C4" s="6">
        <v>65</v>
      </c>
      <c r="D4" s="11" t="s">
        <v>83</v>
      </c>
      <c r="E4" s="18" t="s">
        <v>104</v>
      </c>
      <c r="F4" s="18">
        <v>3.0000000000001137E-2</v>
      </c>
      <c r="G4" s="18" t="s">
        <v>104</v>
      </c>
      <c r="H4" s="18">
        <v>0.18000000000004235</v>
      </c>
      <c r="I4" s="18" t="s">
        <v>104</v>
      </c>
      <c r="J4" s="18">
        <v>-0.60999999999999943</v>
      </c>
      <c r="K4" s="18" t="s">
        <v>104</v>
      </c>
    </row>
    <row r="5" spans="1:11" ht="15.75" x14ac:dyDescent="0.25">
      <c r="A5" s="13" t="str">
        <f>CONCATENATE($C$2,D5)</f>
        <v>АЗС 172Газпромнефть, 71</v>
      </c>
      <c r="B5" s="9" t="s">
        <v>97</v>
      </c>
      <c r="C5" s="6">
        <v>71</v>
      </c>
      <c r="D5" s="11" t="s">
        <v>84</v>
      </c>
      <c r="E5" s="18" t="s">
        <v>104</v>
      </c>
      <c r="F5" s="18">
        <v>-0.45999999999999375</v>
      </c>
      <c r="G5" s="18" t="s">
        <v>104</v>
      </c>
      <c r="H5" s="18">
        <v>-7.9999999999955662E-2</v>
      </c>
      <c r="I5" s="18" t="s">
        <v>104</v>
      </c>
      <c r="J5" s="18">
        <v>-0.85999999999999943</v>
      </c>
      <c r="K5" s="18" t="s">
        <v>104</v>
      </c>
    </row>
    <row r="6" spans="1:11" ht="15.75" x14ac:dyDescent="0.25">
      <c r="A6" s="13" t="str">
        <f>CONCATENATE($C$2,D6)</f>
        <v>АЗС 172Роснефть, TN-001</v>
      </c>
      <c r="B6" s="7" t="s">
        <v>95</v>
      </c>
      <c r="C6" s="6" t="s">
        <v>100</v>
      </c>
      <c r="D6" s="11" t="s">
        <v>85</v>
      </c>
      <c r="E6" s="18" t="s">
        <v>104</v>
      </c>
      <c r="F6" s="18">
        <v>-0.45999999999999375</v>
      </c>
      <c r="G6" s="18" t="s">
        <v>104</v>
      </c>
      <c r="H6" s="18">
        <v>-9.9999999999553779E-3</v>
      </c>
      <c r="I6" s="18" t="s">
        <v>104</v>
      </c>
      <c r="J6" s="18">
        <v>-6.0000000000002274E-2</v>
      </c>
      <c r="K6" s="18" t="s">
        <v>104</v>
      </c>
    </row>
    <row r="7" spans="1:11" x14ac:dyDescent="0.25">
      <c r="A7" s="13"/>
      <c r="B7" s="16" t="s">
        <v>98</v>
      </c>
      <c r="C7" s="17" t="s">
        <v>4</v>
      </c>
      <c r="D7" s="13"/>
      <c r="E7" s="18" t="s">
        <v>104</v>
      </c>
      <c r="F7" s="18" t="s">
        <v>104</v>
      </c>
      <c r="G7" s="18" t="s">
        <v>104</v>
      </c>
      <c r="H7" s="18" t="s">
        <v>104</v>
      </c>
      <c r="I7" s="18" t="s">
        <v>104</v>
      </c>
      <c r="J7" s="18" t="s">
        <v>104</v>
      </c>
      <c r="K7" s="18" t="s">
        <v>104</v>
      </c>
    </row>
    <row r="8" spans="1:11" ht="31.5" x14ac:dyDescent="0.25">
      <c r="A8" s="13" t="str">
        <f>CONCATENATE($C$7,D8)</f>
        <v>АЗС 173Газпромнефть, 329</v>
      </c>
      <c r="B8" s="9" t="s">
        <v>97</v>
      </c>
      <c r="C8" s="6">
        <v>329</v>
      </c>
      <c r="D8" s="5" t="s">
        <v>86</v>
      </c>
      <c r="E8" s="18" t="s">
        <v>104</v>
      </c>
      <c r="F8" s="18">
        <v>-0.30999999999998806</v>
      </c>
      <c r="G8" s="18" t="s">
        <v>104</v>
      </c>
      <c r="H8" s="18">
        <v>-0.32999999999996277</v>
      </c>
      <c r="I8" s="18" t="s">
        <v>104</v>
      </c>
      <c r="J8" s="18">
        <v>-4.0000000000020464E-2</v>
      </c>
      <c r="K8" s="18" t="s">
        <v>104</v>
      </c>
    </row>
    <row r="9" spans="1:11" ht="15.75" x14ac:dyDescent="0.25">
      <c r="A9" s="13" t="str">
        <f>CONCATENATE($C$7,D9)</f>
        <v>АЗС 173Роснефть, 8</v>
      </c>
      <c r="B9" s="7" t="s">
        <v>95</v>
      </c>
      <c r="C9" s="6">
        <v>8</v>
      </c>
      <c r="D9" s="5" t="s">
        <v>87</v>
      </c>
      <c r="E9" s="18" t="s">
        <v>104</v>
      </c>
      <c r="F9" s="18">
        <v>-0.85999999999998522</v>
      </c>
      <c r="G9" s="18" t="s">
        <v>104</v>
      </c>
      <c r="H9" s="18">
        <v>-0.40999999999996106</v>
      </c>
      <c r="I9" s="18" t="s">
        <v>104</v>
      </c>
      <c r="J9" s="18">
        <v>-0.36000000000002785</v>
      </c>
      <c r="K9" s="18" t="s">
        <v>104</v>
      </c>
    </row>
    <row r="10" spans="1:11" ht="15.75" x14ac:dyDescent="0.25">
      <c r="A10" s="13"/>
      <c r="B10" s="10" t="s">
        <v>99</v>
      </c>
      <c r="C10" s="6">
        <v>1</v>
      </c>
      <c r="D10" s="5" t="s">
        <v>88</v>
      </c>
      <c r="E10" s="18" t="s">
        <v>104</v>
      </c>
      <c r="F10" s="18">
        <v>-1.6899999999999835</v>
      </c>
      <c r="G10" s="18" t="s">
        <v>104</v>
      </c>
      <c r="H10" s="18">
        <v>-0.91999999999995907</v>
      </c>
      <c r="I10" s="18" t="s">
        <v>104</v>
      </c>
      <c r="J10" s="18">
        <v>-0.36000000000002785</v>
      </c>
      <c r="K10" s="18" t="s">
        <v>104</v>
      </c>
    </row>
    <row r="11" spans="1:11" x14ac:dyDescent="0.25">
      <c r="A11" s="13"/>
      <c r="B11" s="16" t="s">
        <v>98</v>
      </c>
      <c r="C11" s="17" t="s">
        <v>5</v>
      </c>
      <c r="D11" s="13"/>
      <c r="E11" s="18" t="s">
        <v>104</v>
      </c>
      <c r="F11" s="18" t="s">
        <v>104</v>
      </c>
      <c r="G11" s="18" t="s">
        <v>104</v>
      </c>
      <c r="H11" s="18" t="s">
        <v>104</v>
      </c>
      <c r="I11" s="18" t="s">
        <v>104</v>
      </c>
      <c r="J11" s="18" t="s">
        <v>104</v>
      </c>
      <c r="K11" s="18" t="s">
        <v>104</v>
      </c>
    </row>
    <row r="12" spans="1:11" ht="15.75" x14ac:dyDescent="0.25">
      <c r="A12" s="13" t="str">
        <f>CONCATENATE($C$11,D12)</f>
        <v>АЗС 603Газпромнефть, 89</v>
      </c>
      <c r="B12" s="9" t="s">
        <v>97</v>
      </c>
      <c r="C12" s="6">
        <v>89</v>
      </c>
      <c r="D12" s="5" t="s">
        <v>89</v>
      </c>
      <c r="E12" s="18" t="s">
        <v>104</v>
      </c>
      <c r="F12" s="18">
        <v>-0.31000000000000227</v>
      </c>
      <c r="G12" s="18" t="s">
        <v>104</v>
      </c>
      <c r="H12" s="18">
        <v>-0.32999999999999119</v>
      </c>
      <c r="I12" s="18" t="s">
        <v>104</v>
      </c>
      <c r="J12" s="18">
        <v>-1.2100000000000506</v>
      </c>
      <c r="K12" s="18" t="s">
        <v>104</v>
      </c>
    </row>
    <row r="13" spans="1:11" ht="15.75" x14ac:dyDescent="0.25">
      <c r="A13" s="13" t="str">
        <f t="shared" ref="A13:A14" si="0">CONCATENATE($C$11,D13)</f>
        <v>АЗС 603Газпромнефть, 64</v>
      </c>
      <c r="B13" s="9" t="s">
        <v>97</v>
      </c>
      <c r="C13" s="6">
        <v>64</v>
      </c>
      <c r="D13" s="5" t="s">
        <v>90</v>
      </c>
      <c r="E13" s="18" t="s">
        <v>104</v>
      </c>
      <c r="F13" s="18"/>
      <c r="G13" s="18" t="s">
        <v>104</v>
      </c>
      <c r="H13" s="18">
        <v>-0.32999999999999119</v>
      </c>
      <c r="I13" s="18" t="s">
        <v>104</v>
      </c>
      <c r="J13" s="18">
        <v>-6.0000000000044906E-2</v>
      </c>
      <c r="K13" s="18" t="s">
        <v>104</v>
      </c>
    </row>
    <row r="14" spans="1:11" ht="15.75" x14ac:dyDescent="0.25">
      <c r="A14" s="13" t="str">
        <f t="shared" si="0"/>
        <v>АЗС 603ЛУКОЙЛ, 69464</v>
      </c>
      <c r="B14" s="8" t="s">
        <v>96</v>
      </c>
      <c r="C14" s="6">
        <v>69464</v>
      </c>
      <c r="D14" s="5" t="s">
        <v>91</v>
      </c>
      <c r="E14" s="18" t="s">
        <v>104</v>
      </c>
      <c r="F14" s="18">
        <v>-2.8500000000000085</v>
      </c>
      <c r="G14" s="18" t="s">
        <v>104</v>
      </c>
      <c r="H14" s="18" t="s">
        <v>104</v>
      </c>
      <c r="I14" s="18" t="s">
        <v>104</v>
      </c>
      <c r="J14" s="18" t="s">
        <v>104</v>
      </c>
      <c r="K14" s="18">
        <v>1.1399999999999437</v>
      </c>
    </row>
    <row r="15" spans="1:11" x14ac:dyDescent="0.25">
      <c r="A15" s="13"/>
      <c r="B15" s="16" t="s">
        <v>98</v>
      </c>
      <c r="C15" s="17" t="s">
        <v>6</v>
      </c>
      <c r="D15" s="13"/>
      <c r="E15" s="18" t="s">
        <v>104</v>
      </c>
      <c r="F15" s="18" t="s">
        <v>104</v>
      </c>
      <c r="G15" s="18" t="s">
        <v>104</v>
      </c>
      <c r="H15" s="18" t="s">
        <v>104</v>
      </c>
      <c r="I15" s="18" t="s">
        <v>104</v>
      </c>
      <c r="J15" s="18" t="s">
        <v>104</v>
      </c>
      <c r="K15" s="18" t="s">
        <v>104</v>
      </c>
    </row>
    <row r="16" spans="1:11" ht="15.75" x14ac:dyDescent="0.25">
      <c r="A16" s="13" t="str">
        <f>CONCATENATE($C$15,D16)</f>
        <v>АЗС 604Роснефть, 12</v>
      </c>
      <c r="B16" s="7" t="s">
        <v>95</v>
      </c>
      <c r="C16" s="6">
        <v>12</v>
      </c>
      <c r="D16" s="5" t="s">
        <v>92</v>
      </c>
      <c r="E16" s="18" t="s">
        <v>104</v>
      </c>
      <c r="F16" s="18">
        <v>-0.35999999999999943</v>
      </c>
      <c r="G16" s="18" t="s">
        <v>104</v>
      </c>
      <c r="H16" s="18">
        <v>-0.30999999999995964</v>
      </c>
      <c r="I16" s="18" t="s">
        <v>104</v>
      </c>
      <c r="J16" s="18">
        <v>-0.35999999999999943</v>
      </c>
      <c r="K16" s="18" t="s">
        <v>104</v>
      </c>
    </row>
    <row r="17" spans="1:11" x14ac:dyDescent="0.25">
      <c r="A17" s="13"/>
      <c r="B17" s="16" t="s">
        <v>98</v>
      </c>
      <c r="C17" s="17" t="s">
        <v>7</v>
      </c>
      <c r="D17" s="13"/>
      <c r="E17" s="18" t="s">
        <v>104</v>
      </c>
      <c r="F17" s="18" t="s">
        <v>104</v>
      </c>
      <c r="G17" s="18" t="s">
        <v>104</v>
      </c>
      <c r="H17" s="18" t="s">
        <v>104</v>
      </c>
      <c r="I17" s="18" t="s">
        <v>104</v>
      </c>
      <c r="J17" s="18" t="s">
        <v>104</v>
      </c>
      <c r="K17" s="18" t="s">
        <v>104</v>
      </c>
    </row>
    <row r="18" spans="1:11" ht="15.75" x14ac:dyDescent="0.25">
      <c r="A18" s="13" t="str">
        <f>CONCATENATE($C$17,D18)</f>
        <v>АЗС 606Газпромнефть, 70</v>
      </c>
      <c r="B18" s="9" t="s">
        <v>97</v>
      </c>
      <c r="C18" s="6">
        <v>70</v>
      </c>
      <c r="D18" s="5" t="s">
        <v>93</v>
      </c>
      <c r="E18" s="18" t="s">
        <v>104</v>
      </c>
      <c r="F18" s="18">
        <v>0.11999999999999034</v>
      </c>
      <c r="G18" s="18" t="s">
        <v>104</v>
      </c>
      <c r="H18" s="18">
        <v>-3.0000000000001137E-2</v>
      </c>
      <c r="I18" s="18" t="s">
        <v>104</v>
      </c>
      <c r="J18" s="18">
        <v>0.14000000000000057</v>
      </c>
      <c r="K18" s="18" t="s">
        <v>104</v>
      </c>
    </row>
    <row r="19" spans="1:11" ht="15.75" x14ac:dyDescent="0.25">
      <c r="A19" s="13" t="str">
        <f t="shared" ref="A19:A20" si="1">CONCATENATE($C$17,D19)</f>
        <v>АЗС 606ЛУКОЙЛ, 69464</v>
      </c>
      <c r="B19" s="8" t="s">
        <v>96</v>
      </c>
      <c r="C19" s="6">
        <v>69464</v>
      </c>
      <c r="D19" s="5" t="s">
        <v>91</v>
      </c>
      <c r="E19" s="18" t="s">
        <v>104</v>
      </c>
      <c r="F19" s="18">
        <v>-2.5500000000000114</v>
      </c>
      <c r="G19" s="18" t="s">
        <v>104</v>
      </c>
      <c r="H19" s="18" t="s">
        <v>104</v>
      </c>
      <c r="I19" s="18" t="s">
        <v>104</v>
      </c>
      <c r="J19" s="18" t="s">
        <v>104</v>
      </c>
      <c r="K19" s="18">
        <v>1.7399999999999949</v>
      </c>
    </row>
    <row r="20" spans="1:11" ht="15.75" x14ac:dyDescent="0.25">
      <c r="A20" s="13" t="str">
        <f t="shared" si="1"/>
        <v>АЗС 606Роснефть, 15</v>
      </c>
      <c r="B20" s="7" t="s">
        <v>95</v>
      </c>
      <c r="C20" s="6">
        <v>15</v>
      </c>
      <c r="D20" s="5" t="s">
        <v>94</v>
      </c>
      <c r="E20" s="18" t="s">
        <v>104</v>
      </c>
      <c r="F20" s="18">
        <v>-0.26000000000000512</v>
      </c>
      <c r="G20" s="18" t="s">
        <v>104</v>
      </c>
      <c r="H20" s="18">
        <v>-0.10999999999999943</v>
      </c>
      <c r="I20" s="18" t="s">
        <v>104</v>
      </c>
      <c r="J20" s="18">
        <v>-6.0000000000002274E-2</v>
      </c>
      <c r="K20" s="18" t="s">
        <v>104</v>
      </c>
    </row>
  </sheetData>
  <conditionalFormatting sqref="B2">
    <cfRule type="containsText" dxfId="9" priority="68" operator="containsText" text="предложение">
      <formula>NOT(ISERROR(SEARCH("предложение",B2)))</formula>
    </cfRule>
  </conditionalFormatting>
  <conditionalFormatting sqref="B3">
    <cfRule type="cellIs" dxfId="8" priority="67" operator="equal">
      <formula>0</formula>
    </cfRule>
  </conditionalFormatting>
  <conditionalFormatting sqref="B7">
    <cfRule type="containsText" dxfId="7" priority="69" operator="containsText" text="предложение">
      <formula>NOT(ISERROR(SEARCH("предложение",B7)))</formula>
    </cfRule>
  </conditionalFormatting>
  <conditionalFormatting sqref="B11">
    <cfRule type="containsText" dxfId="6" priority="66" operator="containsText" text="предложение">
      <formula>NOT(ISERROR(SEARCH("предложение",B11)))</formula>
    </cfRule>
  </conditionalFormatting>
  <conditionalFormatting sqref="B14">
    <cfRule type="cellIs" dxfId="5" priority="64" operator="equal">
      <formula>0</formula>
    </cfRule>
  </conditionalFormatting>
  <conditionalFormatting sqref="B15">
    <cfRule type="containsText" dxfId="4" priority="65" operator="containsText" text="предложение">
      <formula>NOT(ISERROR(SEARCH("предложение",B15)))</formula>
    </cfRule>
  </conditionalFormatting>
  <conditionalFormatting sqref="B17">
    <cfRule type="containsText" dxfId="3" priority="63" operator="containsText" text="предложение">
      <formula>NOT(ISERROR(SEARCH("предложение",B17)))</formula>
    </cfRule>
  </conditionalFormatting>
  <conditionalFormatting sqref="B19">
    <cfRule type="cellIs" dxfId="2" priority="62" operator="equal">
      <formula>0</formula>
    </cfRule>
  </conditionalFormatting>
  <conditionalFormatting sqref="C3:C6 C8:C10 C12:C14 C16">
    <cfRule type="cellIs" dxfId="1" priority="70" operator="equal">
      <formula>0</formula>
    </cfRule>
  </conditionalFormatting>
  <conditionalFormatting sqref="C18:C20">
    <cfRule type="cellIs" dxfId="0" priority="6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2026-05-27T09:47:12Z</dcterms:modified>
</cp:coreProperties>
</file>